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REDS 2026\uwworkflow\hoptimizer2.0\"/>
    </mc:Choice>
  </mc:AlternateContent>
  <xr:revisionPtr revIDLastSave="0" documentId="13_ncr:1_{9540508A-BAAA-4D1B-AE55-0FC45D0D5850}" xr6:coauthVersionLast="47" xr6:coauthVersionMax="47" xr10:uidLastSave="{00000000-0000-0000-0000-000000000000}"/>
  <bookViews>
    <workbookView xWindow="28680" yWindow="-6990" windowWidth="29040" windowHeight="15720" tabRatio="500" xr2:uid="{00000000-000D-0000-FFFF-FFFF00000000}"/>
  </bookViews>
  <sheets>
    <sheet name="Summary" sheetId="1" r:id="rId1"/>
    <sheet name="Assumptions" sheetId="2" r:id="rId2"/>
    <sheet name="Rent Roll" sheetId="3" r:id="rId3"/>
    <sheet name="Cash Flow" sheetId="4" r:id="rId4"/>
    <sheet name="Waterfall" sheetId="5" r:id="rId5"/>
  </sheets>
  <definedNames>
    <definedName name="AmortYears">Assumptions!$C$26</definedName>
    <definedName name="AnalysisStart">Assumptions!$C$16</definedName>
    <definedName name="CAM_PSF">Assumptions!$C$59</definedName>
    <definedName name="Capex_PSF">Assumptions!$C$67</definedName>
    <definedName name="Downtime_New">Assumptions!$C$53</definedName>
    <definedName name="Downtime_Ren">Assumptions!$C$54</definedName>
    <definedName name="ExitCap">Assumptions!$C$34</definedName>
    <definedName name="ExpGrowth">Assumptions!$C$64</definedName>
    <definedName name="FreeRent_New">Assumptions!$C$51</definedName>
    <definedName name="FreeRent_Ren">Assumptions!$C$52</definedName>
    <definedName name="GenVac">Assumptions!$C$65</definedName>
    <definedName name="GP_Pct">Assumptions!$C$71</definedName>
    <definedName name="HoldYears">Assumptions!$C$17</definedName>
    <definedName name="Ins_PSF">Assumptions!$C$60</definedName>
    <definedName name="IntRate">Assumptions!$C$25</definedName>
    <definedName name="IOYears">Assumptions!$C$27</definedName>
    <definedName name="LC_New">Assumptions!$C$49</definedName>
    <definedName name="LC_Ren">Assumptions!$C$50</definedName>
    <definedName name="LeaseTermYrs">Assumptions!$C$56</definedName>
    <definedName name="LoanAmount">Assumptions!$C$29</definedName>
    <definedName name="LoanFeePct">Assumptions!$C$28</definedName>
    <definedName name="LP_Pct">Assumptions!$C$70</definedName>
    <definedName name="LTV_Pct">Assumptions!$C$24</definedName>
    <definedName name="MgmtFeePct">Assumptions!$C$63</definedName>
    <definedName name="MktRentGrowth">Assumptions!$D$42:$M$42</definedName>
    <definedName name="MktRentSchedule">Assumptions!$D$44:$M$44</definedName>
    <definedName name="MktRentY1">Assumptions!$C$38</definedName>
    <definedName name="PrefRate">Assumptions!$C$73</definedName>
    <definedName name="PromoteGP">Assumptions!$C$75</definedName>
    <definedName name="PromoteLP">Assumptions!$C$74</definedName>
    <definedName name="PurchasePrice">Assumptions!$C$18</definedName>
    <definedName name="RecoveryPct">Assumptions!$C$66</definedName>
    <definedName name="RET_PSF">Assumptions!$C$61</definedName>
    <definedName name="Retention_Ratio">Assumptions!$C$55</definedName>
    <definedName name="SellingCostsPct">Assumptions!$C$35</definedName>
    <definedName name="TI_New">Assumptions!$C$47</definedName>
    <definedName name="TI_Ren">Assumptions!$C$48</definedName>
    <definedName name="TotalAcqCost">Assumptions!$C$21</definedName>
    <definedName name="TotalSF">Assumptions!$C$10</definedName>
    <definedName name="UT_PSF">Assumptions!$C$62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4" l="1"/>
  <c r="E23" i="4"/>
  <c r="F23" i="4"/>
  <c r="G23" i="4"/>
  <c r="H23" i="4"/>
  <c r="I23" i="4"/>
  <c r="J23" i="4"/>
  <c r="K23" i="4"/>
  <c r="L23" i="4"/>
  <c r="M23" i="4"/>
  <c r="N23" i="4"/>
  <c r="D23" i="4"/>
  <c r="E21" i="4"/>
  <c r="F21" i="4"/>
  <c r="G21" i="4"/>
  <c r="H21" i="4"/>
  <c r="I21" i="4"/>
  <c r="J21" i="4"/>
  <c r="K21" i="4"/>
  <c r="L21" i="4"/>
  <c r="M21" i="4"/>
  <c r="N21" i="4"/>
  <c r="D21" i="4"/>
  <c r="D3" i="4"/>
  <c r="E3" i="4" s="1"/>
  <c r="F3" i="4" s="1"/>
  <c r="G3" i="4" s="1"/>
  <c r="H3" i="4" s="1"/>
  <c r="I3" i="4" s="1"/>
  <c r="J3" i="4" s="1"/>
  <c r="K3" i="4" s="1"/>
  <c r="L3" i="4" s="1"/>
  <c r="M3" i="4" s="1"/>
  <c r="N3" i="4" s="1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V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10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C34" i="5"/>
  <c r="C33" i="5"/>
  <c r="C32" i="5"/>
  <c r="C35" i="5" s="1"/>
  <c r="D32" i="5" s="1"/>
  <c r="C29" i="5"/>
  <c r="M28" i="5"/>
  <c r="L28" i="5"/>
  <c r="K28" i="5"/>
  <c r="J28" i="5"/>
  <c r="I28" i="5"/>
  <c r="H28" i="5"/>
  <c r="G28" i="5"/>
  <c r="F28" i="5"/>
  <c r="E28" i="5"/>
  <c r="D28" i="5"/>
  <c r="C27" i="5"/>
  <c r="C23" i="5"/>
  <c r="C22" i="5"/>
  <c r="C21" i="5"/>
  <c r="C24" i="5" s="1"/>
  <c r="D21" i="5" s="1"/>
  <c r="C18" i="5"/>
  <c r="M17" i="5"/>
  <c r="L17" i="5"/>
  <c r="K17" i="5"/>
  <c r="J17" i="5"/>
  <c r="I17" i="5"/>
  <c r="H17" i="5"/>
  <c r="G17" i="5"/>
  <c r="F17" i="5"/>
  <c r="E17" i="5"/>
  <c r="D17" i="5"/>
  <c r="C16" i="5"/>
  <c r="N38" i="4"/>
  <c r="N37" i="4"/>
  <c r="E37" i="4"/>
  <c r="D37" i="4"/>
  <c r="N36" i="4"/>
  <c r="N30" i="4"/>
  <c r="M30" i="4"/>
  <c r="L30" i="4"/>
  <c r="K30" i="4"/>
  <c r="J30" i="4"/>
  <c r="I30" i="4"/>
  <c r="H30" i="4"/>
  <c r="G30" i="4"/>
  <c r="F30" i="4"/>
  <c r="E30" i="4"/>
  <c r="D30" i="4"/>
  <c r="N20" i="4"/>
  <c r="M20" i="4"/>
  <c r="L20" i="4"/>
  <c r="K20" i="4"/>
  <c r="K11" i="4" s="1"/>
  <c r="J20" i="4"/>
  <c r="I20" i="4"/>
  <c r="H20" i="4"/>
  <c r="G20" i="4"/>
  <c r="F20" i="4"/>
  <c r="E20" i="4"/>
  <c r="D20" i="4"/>
  <c r="N19" i="4"/>
  <c r="M19" i="4"/>
  <c r="L19" i="4"/>
  <c r="K19" i="4"/>
  <c r="J19" i="4"/>
  <c r="I19" i="4"/>
  <c r="H19" i="4"/>
  <c r="G19" i="4"/>
  <c r="F19" i="4"/>
  <c r="E19" i="4"/>
  <c r="D19" i="4"/>
  <c r="N18" i="4"/>
  <c r="M18" i="4"/>
  <c r="L18" i="4"/>
  <c r="K18" i="4"/>
  <c r="J18" i="4"/>
  <c r="I18" i="4"/>
  <c r="I11" i="4" s="1"/>
  <c r="H18" i="4"/>
  <c r="G18" i="4"/>
  <c r="F18" i="4"/>
  <c r="E18" i="4"/>
  <c r="D18" i="4"/>
  <c r="D61" i="3"/>
  <c r="D64" i="3" s="1"/>
  <c r="X59" i="3"/>
  <c r="U59" i="3"/>
  <c r="T59" i="3"/>
  <c r="R59" i="3"/>
  <c r="P59" i="3"/>
  <c r="O59" i="3"/>
  <c r="N59" i="3"/>
  <c r="I59" i="3"/>
  <c r="E59" i="3"/>
  <c r="X58" i="3"/>
  <c r="U58" i="3"/>
  <c r="T58" i="3"/>
  <c r="R58" i="3"/>
  <c r="P58" i="3"/>
  <c r="O58" i="3"/>
  <c r="N58" i="3"/>
  <c r="I58" i="3"/>
  <c r="E58" i="3"/>
  <c r="X57" i="3"/>
  <c r="U57" i="3"/>
  <c r="T57" i="3"/>
  <c r="R57" i="3"/>
  <c r="P57" i="3"/>
  <c r="O57" i="3"/>
  <c r="N57" i="3"/>
  <c r="I57" i="3"/>
  <c r="E57" i="3"/>
  <c r="X56" i="3"/>
  <c r="U56" i="3"/>
  <c r="T56" i="3"/>
  <c r="R56" i="3"/>
  <c r="P56" i="3"/>
  <c r="O56" i="3"/>
  <c r="N56" i="3"/>
  <c r="I56" i="3"/>
  <c r="E56" i="3"/>
  <c r="X55" i="3"/>
  <c r="U55" i="3"/>
  <c r="T55" i="3"/>
  <c r="R55" i="3"/>
  <c r="P55" i="3"/>
  <c r="O55" i="3"/>
  <c r="N55" i="3"/>
  <c r="I55" i="3"/>
  <c r="E55" i="3"/>
  <c r="X54" i="3"/>
  <c r="U54" i="3"/>
  <c r="T54" i="3"/>
  <c r="R54" i="3"/>
  <c r="P54" i="3"/>
  <c r="O54" i="3"/>
  <c r="N54" i="3"/>
  <c r="I54" i="3"/>
  <c r="E54" i="3"/>
  <c r="X53" i="3"/>
  <c r="U53" i="3"/>
  <c r="T53" i="3"/>
  <c r="R53" i="3"/>
  <c r="P53" i="3"/>
  <c r="O53" i="3"/>
  <c r="N53" i="3"/>
  <c r="I53" i="3"/>
  <c r="E53" i="3"/>
  <c r="X52" i="3"/>
  <c r="U52" i="3"/>
  <c r="T52" i="3"/>
  <c r="R52" i="3"/>
  <c r="P52" i="3"/>
  <c r="O52" i="3"/>
  <c r="N52" i="3"/>
  <c r="I52" i="3"/>
  <c r="E52" i="3"/>
  <c r="X51" i="3"/>
  <c r="U51" i="3"/>
  <c r="T51" i="3"/>
  <c r="R51" i="3"/>
  <c r="P51" i="3"/>
  <c r="O51" i="3"/>
  <c r="N51" i="3"/>
  <c r="I51" i="3"/>
  <c r="E51" i="3"/>
  <c r="X50" i="3"/>
  <c r="U50" i="3"/>
  <c r="T50" i="3"/>
  <c r="R50" i="3"/>
  <c r="P50" i="3"/>
  <c r="O50" i="3"/>
  <c r="N50" i="3"/>
  <c r="I50" i="3"/>
  <c r="E50" i="3"/>
  <c r="X49" i="3"/>
  <c r="U49" i="3"/>
  <c r="T49" i="3"/>
  <c r="R49" i="3"/>
  <c r="P49" i="3"/>
  <c r="O49" i="3"/>
  <c r="N49" i="3"/>
  <c r="I49" i="3"/>
  <c r="E49" i="3"/>
  <c r="X48" i="3"/>
  <c r="U48" i="3"/>
  <c r="T48" i="3"/>
  <c r="R48" i="3"/>
  <c r="P48" i="3"/>
  <c r="O48" i="3"/>
  <c r="N48" i="3"/>
  <c r="I48" i="3"/>
  <c r="E48" i="3"/>
  <c r="X47" i="3"/>
  <c r="U47" i="3"/>
  <c r="T47" i="3"/>
  <c r="R47" i="3"/>
  <c r="P47" i="3"/>
  <c r="O47" i="3"/>
  <c r="N47" i="3"/>
  <c r="I47" i="3"/>
  <c r="E47" i="3"/>
  <c r="O46" i="3"/>
  <c r="P46" i="3" s="1"/>
  <c r="N46" i="3"/>
  <c r="I46" i="3"/>
  <c r="E46" i="3"/>
  <c r="O45" i="3"/>
  <c r="N45" i="3"/>
  <c r="BL45" i="3" s="1"/>
  <c r="I45" i="3"/>
  <c r="E45" i="3"/>
  <c r="O44" i="3"/>
  <c r="P44" i="3" s="1"/>
  <c r="N44" i="3"/>
  <c r="I44" i="3"/>
  <c r="E44" i="3"/>
  <c r="O43" i="3"/>
  <c r="N43" i="3"/>
  <c r="I43" i="3"/>
  <c r="E43" i="3"/>
  <c r="O42" i="3"/>
  <c r="P42" i="3" s="1"/>
  <c r="N42" i="3"/>
  <c r="AE42" i="3" s="1"/>
  <c r="I42" i="3"/>
  <c r="E42" i="3"/>
  <c r="O41" i="3"/>
  <c r="N41" i="3"/>
  <c r="I41" i="3"/>
  <c r="E41" i="3"/>
  <c r="O40" i="3"/>
  <c r="P40" i="3" s="1"/>
  <c r="N40" i="3"/>
  <c r="I40" i="3"/>
  <c r="E40" i="3"/>
  <c r="O39" i="3"/>
  <c r="N39" i="3"/>
  <c r="Y39" i="3" s="1"/>
  <c r="I39" i="3"/>
  <c r="E39" i="3"/>
  <c r="O38" i="3"/>
  <c r="P38" i="3" s="1"/>
  <c r="N38" i="3"/>
  <c r="I38" i="3"/>
  <c r="E38" i="3"/>
  <c r="O37" i="3"/>
  <c r="N37" i="3"/>
  <c r="I37" i="3"/>
  <c r="E37" i="3"/>
  <c r="O36" i="3"/>
  <c r="P36" i="3" s="1"/>
  <c r="N36" i="3"/>
  <c r="I36" i="3"/>
  <c r="E36" i="3"/>
  <c r="O35" i="3"/>
  <c r="N35" i="3"/>
  <c r="AA35" i="3" s="1"/>
  <c r="I35" i="3"/>
  <c r="E35" i="3"/>
  <c r="O34" i="3"/>
  <c r="P34" i="3" s="1"/>
  <c r="N34" i="3"/>
  <c r="Z34" i="3" s="1"/>
  <c r="I34" i="3"/>
  <c r="E34" i="3"/>
  <c r="O33" i="3"/>
  <c r="N33" i="3"/>
  <c r="I33" i="3"/>
  <c r="E33" i="3"/>
  <c r="O32" i="3"/>
  <c r="P32" i="3" s="1"/>
  <c r="N32" i="3"/>
  <c r="I32" i="3"/>
  <c r="E32" i="3"/>
  <c r="O31" i="3"/>
  <c r="N31" i="3"/>
  <c r="I31" i="3"/>
  <c r="E31" i="3"/>
  <c r="O30" i="3"/>
  <c r="P30" i="3" s="1"/>
  <c r="N30" i="3"/>
  <c r="AN30" i="3" s="1"/>
  <c r="I30" i="3"/>
  <c r="E30" i="3"/>
  <c r="O29" i="3"/>
  <c r="N29" i="3"/>
  <c r="I29" i="3"/>
  <c r="E29" i="3"/>
  <c r="O28" i="3"/>
  <c r="P28" i="3" s="1"/>
  <c r="N28" i="3"/>
  <c r="I28" i="3"/>
  <c r="E28" i="3"/>
  <c r="O27" i="3"/>
  <c r="N27" i="3"/>
  <c r="I27" i="3"/>
  <c r="E27" i="3"/>
  <c r="O26" i="3"/>
  <c r="P26" i="3" s="1"/>
  <c r="N26" i="3"/>
  <c r="I26" i="3"/>
  <c r="E26" i="3"/>
  <c r="O25" i="3"/>
  <c r="N25" i="3"/>
  <c r="I25" i="3"/>
  <c r="E25" i="3"/>
  <c r="O24" i="3"/>
  <c r="P24" i="3" s="1"/>
  <c r="N24" i="3"/>
  <c r="I24" i="3"/>
  <c r="E24" i="3"/>
  <c r="O23" i="3"/>
  <c r="N23" i="3"/>
  <c r="I23" i="3"/>
  <c r="E23" i="3"/>
  <c r="O22" i="3"/>
  <c r="P22" i="3" s="1"/>
  <c r="N22" i="3"/>
  <c r="I22" i="3"/>
  <c r="E22" i="3"/>
  <c r="O21" i="3"/>
  <c r="N21" i="3"/>
  <c r="AF21" i="3" s="1"/>
  <c r="I21" i="3"/>
  <c r="E21" i="3"/>
  <c r="O20" i="3"/>
  <c r="P20" i="3" s="1"/>
  <c r="N20" i="3"/>
  <c r="I20" i="3"/>
  <c r="E20" i="3"/>
  <c r="O19" i="3"/>
  <c r="P19" i="3" s="1"/>
  <c r="N19" i="3"/>
  <c r="I19" i="3"/>
  <c r="E19" i="3"/>
  <c r="O18" i="3"/>
  <c r="P18" i="3" s="1"/>
  <c r="N18" i="3"/>
  <c r="I18" i="3"/>
  <c r="E18" i="3"/>
  <c r="O17" i="3"/>
  <c r="P17" i="3" s="1"/>
  <c r="N17" i="3"/>
  <c r="I17" i="3"/>
  <c r="E17" i="3"/>
  <c r="O16" i="3"/>
  <c r="P16" i="3" s="1"/>
  <c r="N16" i="3"/>
  <c r="I16" i="3"/>
  <c r="E16" i="3"/>
  <c r="O15" i="3"/>
  <c r="P15" i="3" s="1"/>
  <c r="N15" i="3"/>
  <c r="I15" i="3"/>
  <c r="E15" i="3"/>
  <c r="O14" i="3"/>
  <c r="P14" i="3" s="1"/>
  <c r="N14" i="3"/>
  <c r="I14" i="3"/>
  <c r="E14" i="3"/>
  <c r="O13" i="3"/>
  <c r="P13" i="3" s="1"/>
  <c r="R13" i="3" s="1"/>
  <c r="N13" i="3"/>
  <c r="I13" i="3"/>
  <c r="E13" i="3"/>
  <c r="O12" i="3"/>
  <c r="P12" i="3" s="1"/>
  <c r="N12" i="3"/>
  <c r="I12" i="3"/>
  <c r="E12" i="3"/>
  <c r="O11" i="3"/>
  <c r="P11" i="3" s="1"/>
  <c r="N11" i="3"/>
  <c r="I11" i="3"/>
  <c r="E11" i="3"/>
  <c r="O10" i="3"/>
  <c r="N10" i="3"/>
  <c r="I10" i="3"/>
  <c r="E10" i="3"/>
  <c r="EN6" i="3"/>
  <c r="EM6" i="3"/>
  <c r="EL6" i="3"/>
  <c r="EK6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C76" i="2"/>
  <c r="C72" i="2"/>
  <c r="D44" i="2"/>
  <c r="E44" i="2" s="1"/>
  <c r="F44" i="2" s="1"/>
  <c r="G44" i="2" s="1"/>
  <c r="H44" i="2" s="1"/>
  <c r="I44" i="2" s="1"/>
  <c r="J44" i="2" s="1"/>
  <c r="K44" i="2" s="1"/>
  <c r="L44" i="2" s="1"/>
  <c r="M44" i="2" s="1"/>
  <c r="C29" i="2"/>
  <c r="C21" i="2"/>
  <c r="C19" i="2"/>
  <c r="F9" i="1" s="1"/>
  <c r="F29" i="1"/>
  <c r="F12" i="1"/>
  <c r="C11" i="1"/>
  <c r="F10" i="1"/>
  <c r="C10" i="1"/>
  <c r="C9" i="1"/>
  <c r="F8" i="1"/>
  <c r="C8" i="1"/>
  <c r="F7" i="1"/>
  <c r="C7" i="1"/>
  <c r="F6" i="1"/>
  <c r="C6" i="1"/>
  <c r="N11" i="4" l="1"/>
  <c r="H11" i="4"/>
  <c r="L11" i="4"/>
  <c r="J11" i="4"/>
  <c r="M11" i="4"/>
  <c r="G11" i="4"/>
  <c r="BE42" i="3"/>
  <c r="BJ34" i="3"/>
  <c r="AR10" i="3"/>
  <c r="Z25" i="3"/>
  <c r="AG31" i="3"/>
  <c r="AM43" i="3"/>
  <c r="AL30" i="3"/>
  <c r="AO45" i="3"/>
  <c r="AB31" i="3"/>
  <c r="BM43" i="3"/>
  <c r="AN45" i="3"/>
  <c r="AL45" i="3"/>
  <c r="BK43" i="3"/>
  <c r="AF14" i="3"/>
  <c r="AJ17" i="3"/>
  <c r="AB26" i="3"/>
  <c r="CE32" i="3"/>
  <c r="Y44" i="3"/>
  <c r="Y43" i="3"/>
  <c r="AM30" i="3"/>
  <c r="AM45" i="3"/>
  <c r="R11" i="3"/>
  <c r="U11" i="3" s="1"/>
  <c r="X11" i="3" s="1"/>
  <c r="W11" i="3" s="1"/>
  <c r="BF42" i="3"/>
  <c r="BJ35" i="3"/>
  <c r="BS32" i="3"/>
  <c r="AE26" i="3"/>
  <c r="BD42" i="3"/>
  <c r="AA44" i="3"/>
  <c r="BC42" i="3"/>
  <c r="Z35" i="3"/>
  <c r="AS32" i="3"/>
  <c r="AM14" i="3"/>
  <c r="Z44" i="3"/>
  <c r="BB42" i="3"/>
  <c r="Y35" i="3"/>
  <c r="AR32" i="3"/>
  <c r="AJ45" i="3"/>
  <c r="BZ45" i="3"/>
  <c r="BA42" i="3"/>
  <c r="AC22" i="3"/>
  <c r="AX34" i="3"/>
  <c r="BY45" i="3"/>
  <c r="BP43" i="3"/>
  <c r="AM42" i="3"/>
  <c r="BI34" i="3"/>
  <c r="AE31" i="3"/>
  <c r="BR32" i="3"/>
  <c r="AX32" i="3"/>
  <c r="BW45" i="3"/>
  <c r="BO43" i="3"/>
  <c r="AL42" i="3"/>
  <c r="AZ34" i="3"/>
  <c r="AD31" i="3"/>
  <c r="AG35" i="3"/>
  <c r="BI35" i="3"/>
  <c r="BH35" i="3"/>
  <c r="BA45" i="3"/>
  <c r="AP32" i="3"/>
  <c r="BM45" i="3"/>
  <c r="BN43" i="3"/>
  <c r="Z39" i="3"/>
  <c r="AC34" i="3"/>
  <c r="BK35" i="3"/>
  <c r="AT32" i="3"/>
  <c r="I61" i="3"/>
  <c r="AB34" i="3"/>
  <c r="R17" i="3"/>
  <c r="T17" i="3" s="1"/>
  <c r="R19" i="3"/>
  <c r="R15" i="3"/>
  <c r="U15" i="3" s="1"/>
  <c r="X15" i="3" s="1"/>
  <c r="W15" i="3" s="1"/>
  <c r="F13" i="1"/>
  <c r="F11" i="1"/>
  <c r="P23" i="3"/>
  <c r="R23" i="3" s="1"/>
  <c r="U23" i="3" s="1"/>
  <c r="X23" i="3" s="1"/>
  <c r="W23" i="3" s="1"/>
  <c r="P29" i="3"/>
  <c r="R29" i="3" s="1"/>
  <c r="U29" i="3" s="1"/>
  <c r="X29" i="3" s="1"/>
  <c r="W29" i="3" s="1"/>
  <c r="P39" i="3"/>
  <c r="R39" i="3" s="1"/>
  <c r="T39" i="3" s="1"/>
  <c r="AE39" i="3"/>
  <c r="AF39" i="3"/>
  <c r="AM39" i="3"/>
  <c r="AO39" i="3"/>
  <c r="AL39" i="3"/>
  <c r="AP39" i="3"/>
  <c r="AQ39" i="3"/>
  <c r="BF35" i="3"/>
  <c r="BE10" i="3"/>
  <c r="E11" i="4"/>
  <c r="BD10" i="3"/>
  <c r="BH45" i="3"/>
  <c r="AP43" i="3"/>
  <c r="AF42" i="3"/>
  <c r="AR39" i="3"/>
  <c r="AH35" i="3"/>
  <c r="AY34" i="3"/>
  <c r="AA28" i="3"/>
  <c r="Y13" i="3"/>
  <c r="AK10" i="3"/>
  <c r="AI10" i="3"/>
  <c r="AH10" i="3"/>
  <c r="Y10" i="3"/>
  <c r="P21" i="3"/>
  <c r="R21" i="3" s="1"/>
  <c r="U21" i="3" s="1"/>
  <c r="X21" i="3" s="1"/>
  <c r="W21" i="3" s="1"/>
  <c r="P33" i="3"/>
  <c r="R33" i="3" s="1"/>
  <c r="U33" i="3" s="1"/>
  <c r="X33" i="3" s="1"/>
  <c r="W33" i="3" s="1"/>
  <c r="P41" i="3"/>
  <c r="R41" i="3" s="1"/>
  <c r="U41" i="3" s="1"/>
  <c r="X41" i="3" s="1"/>
  <c r="W41" i="3" s="1"/>
  <c r="AQ27" i="3"/>
  <c r="BJ45" i="3"/>
  <c r="AW43" i="3"/>
  <c r="AI27" i="3"/>
  <c r="D11" i="4"/>
  <c r="AS39" i="3"/>
  <c r="AP35" i="3"/>
  <c r="Z27" i="3"/>
  <c r="AL13" i="3"/>
  <c r="E61" i="3"/>
  <c r="AX10" i="3"/>
  <c r="AO43" i="3"/>
  <c r="AD39" i="3"/>
  <c r="CH32" i="3"/>
  <c r="AF10" i="3"/>
  <c r="P25" i="3"/>
  <c r="R25" i="3" s="1"/>
  <c r="U25" i="3" s="1"/>
  <c r="X25" i="3" s="1"/>
  <c r="W25" i="3" s="1"/>
  <c r="AF25" i="3"/>
  <c r="AH25" i="3"/>
  <c r="P35" i="3"/>
  <c r="R35" i="3" s="1"/>
  <c r="U35" i="3" s="1"/>
  <c r="X35" i="3" s="1"/>
  <c r="W35" i="3" s="1"/>
  <c r="AR35" i="3"/>
  <c r="AW35" i="3"/>
  <c r="AS35" i="3"/>
  <c r="AV35" i="3"/>
  <c r="AT35" i="3"/>
  <c r="AD35" i="3"/>
  <c r="AX35" i="3"/>
  <c r="AE35" i="3"/>
  <c r="BE35" i="3"/>
  <c r="P45" i="3"/>
  <c r="R45" i="3" s="1"/>
  <c r="T45" i="3" s="1"/>
  <c r="AA45" i="3"/>
  <c r="AW45" i="3"/>
  <c r="BN45" i="3"/>
  <c r="AZ45" i="3"/>
  <c r="AB45" i="3"/>
  <c r="AX45" i="3"/>
  <c r="BO45" i="3"/>
  <c r="BV45" i="3"/>
  <c r="AG45" i="3"/>
  <c r="AY45" i="3"/>
  <c r="BU45" i="3"/>
  <c r="AH45" i="3"/>
  <c r="AK45" i="3"/>
  <c r="BB45" i="3"/>
  <c r="BX45" i="3"/>
  <c r="BG10" i="3"/>
  <c r="Z45" i="3"/>
  <c r="BJ43" i="3"/>
  <c r="Y45" i="3"/>
  <c r="AQ35" i="3"/>
  <c r="BI45" i="3"/>
  <c r="AV43" i="3"/>
  <c r="AE14" i="3"/>
  <c r="AQ14" i="3"/>
  <c r="BC14" i="3"/>
  <c r="AG14" i="3"/>
  <c r="AT14" i="3"/>
  <c r="BG14" i="3"/>
  <c r="AC14" i="3"/>
  <c r="AR14" i="3"/>
  <c r="BF14" i="3"/>
  <c r="AD14" i="3"/>
  <c r="AS14" i="3"/>
  <c r="BH14" i="3"/>
  <c r="AJ14" i="3"/>
  <c r="AX14" i="3"/>
  <c r="Y14" i="3"/>
  <c r="AP14" i="3"/>
  <c r="AA14" i="3"/>
  <c r="AV14" i="3"/>
  <c r="AH14" i="3"/>
  <c r="AZ14" i="3"/>
  <c r="AK14" i="3"/>
  <c r="BB14" i="3"/>
  <c r="AO14" i="3"/>
  <c r="AW14" i="3"/>
  <c r="AB14" i="3"/>
  <c r="BE14" i="3"/>
  <c r="AN14" i="3"/>
  <c r="AU14" i="3"/>
  <c r="AY14" i="3"/>
  <c r="BI14" i="3"/>
  <c r="BJ14" i="3"/>
  <c r="Z14" i="3"/>
  <c r="AI14" i="3"/>
  <c r="BA14" i="3"/>
  <c r="BD14" i="3"/>
  <c r="AL14" i="3"/>
  <c r="AA20" i="3"/>
  <c r="AM20" i="3"/>
  <c r="AF20" i="3"/>
  <c r="AS20" i="3"/>
  <c r="BE20" i="3"/>
  <c r="AG20" i="3"/>
  <c r="AU20" i="3"/>
  <c r="BH20" i="3"/>
  <c r="AI20" i="3"/>
  <c r="AW20" i="3"/>
  <c r="BJ20" i="3"/>
  <c r="Z20" i="3"/>
  <c r="AE20" i="3"/>
  <c r="AX20" i="3"/>
  <c r="BM20" i="3"/>
  <c r="AO20" i="3"/>
  <c r="BD20" i="3"/>
  <c r="AQ20" i="3"/>
  <c r="BK20" i="3"/>
  <c r="AR20" i="3"/>
  <c r="BL20" i="3"/>
  <c r="Y20" i="3"/>
  <c r="AT20" i="3"/>
  <c r="BN20" i="3"/>
  <c r="AD20" i="3"/>
  <c r="AH20" i="3"/>
  <c r="BA20" i="3"/>
  <c r="AJ20" i="3"/>
  <c r="BB20" i="3"/>
  <c r="AN20" i="3"/>
  <c r="AP20" i="3"/>
  <c r="AY20" i="3"/>
  <c r="BC20" i="3"/>
  <c r="BI20" i="3"/>
  <c r="BO20" i="3"/>
  <c r="AC20" i="3"/>
  <c r="AK20" i="3"/>
  <c r="AB20" i="3"/>
  <c r="AV20" i="3"/>
  <c r="BG20" i="3"/>
  <c r="AZ20" i="3"/>
  <c r="AL20" i="3"/>
  <c r="BF20" i="3"/>
  <c r="AJ26" i="3"/>
  <c r="Y26" i="3"/>
  <c r="AK26" i="3"/>
  <c r="AD26" i="3"/>
  <c r="AP26" i="3"/>
  <c r="AA26" i="3"/>
  <c r="AC26" i="3"/>
  <c r="AF26" i="3"/>
  <c r="AM26" i="3"/>
  <c r="Z26" i="3"/>
  <c r="AH26" i="3"/>
  <c r="AL26" i="3"/>
  <c r="AG26" i="3"/>
  <c r="AI26" i="3"/>
  <c r="AN26" i="3"/>
  <c r="AO26" i="3"/>
  <c r="AJ30" i="3"/>
  <c r="AV30" i="3"/>
  <c r="Y30" i="3"/>
  <c r="AK30" i="3"/>
  <c r="AW30" i="3"/>
  <c r="AA30" i="3"/>
  <c r="AO30" i="3"/>
  <c r="Z30" i="3"/>
  <c r="AP30" i="3"/>
  <c r="AB30" i="3"/>
  <c r="AQ30" i="3"/>
  <c r="AR30" i="3"/>
  <c r="AF30" i="3"/>
  <c r="AG30" i="3"/>
  <c r="AS30" i="3"/>
  <c r="AT30" i="3"/>
  <c r="AU30" i="3"/>
  <c r="AE30" i="3"/>
  <c r="AC30" i="3"/>
  <c r="AD30" i="3"/>
  <c r="AH30" i="3"/>
  <c r="AI30" i="3"/>
  <c r="AJ34" i="3"/>
  <c r="AV34" i="3"/>
  <c r="BH34" i="3"/>
  <c r="AA34" i="3"/>
  <c r="AN34" i="3"/>
  <c r="BA34" i="3"/>
  <c r="BN34" i="3"/>
  <c r="AF34" i="3"/>
  <c r="AS34" i="3"/>
  <c r="BF34" i="3"/>
  <c r="AG34" i="3"/>
  <c r="AT34" i="3"/>
  <c r="BG34" i="3"/>
  <c r="AK34" i="3"/>
  <c r="BB34" i="3"/>
  <c r="BR34" i="3"/>
  <c r="AL34" i="3"/>
  <c r="BC34" i="3"/>
  <c r="AM34" i="3"/>
  <c r="BD34" i="3"/>
  <c r="AO34" i="3"/>
  <c r="BE34" i="3"/>
  <c r="AH34" i="3"/>
  <c r="BK34" i="3"/>
  <c r="BP34" i="3"/>
  <c r="AI34" i="3"/>
  <c r="BL34" i="3"/>
  <c r="AP34" i="3"/>
  <c r="BM34" i="3"/>
  <c r="AQ34" i="3"/>
  <c r="BO34" i="3"/>
  <c r="AR34" i="3"/>
  <c r="AU34" i="3"/>
  <c r="BQ34" i="3"/>
  <c r="Y34" i="3"/>
  <c r="AW34" i="3"/>
  <c r="Y40" i="3"/>
  <c r="Z40" i="3"/>
  <c r="AI42" i="3"/>
  <c r="AU42" i="3"/>
  <c r="AB42" i="3"/>
  <c r="AN42" i="3"/>
  <c r="AZ42" i="3"/>
  <c r="AG42" i="3"/>
  <c r="AV42" i="3"/>
  <c r="AH42" i="3"/>
  <c r="AW42" i="3"/>
  <c r="AJ42" i="3"/>
  <c r="AX42" i="3"/>
  <c r="AK42" i="3"/>
  <c r="AY42" i="3"/>
  <c r="AO42" i="3"/>
  <c r="Y42" i="3"/>
  <c r="AS42" i="3"/>
  <c r="AP42" i="3"/>
  <c r="AQ42" i="3"/>
  <c r="AR42" i="3"/>
  <c r="Z42" i="3"/>
  <c r="AA42" i="3"/>
  <c r="AT42" i="3"/>
  <c r="AI44" i="3"/>
  <c r="AE44" i="3"/>
  <c r="AF44" i="3"/>
  <c r="AG44" i="3"/>
  <c r="AH44" i="3"/>
  <c r="AC44" i="3"/>
  <c r="AD44" i="3"/>
  <c r="AJ44" i="3"/>
  <c r="AK44" i="3"/>
  <c r="AA46" i="3"/>
  <c r="Y46" i="3"/>
  <c r="Z46" i="3"/>
  <c r="AV45" i="3"/>
  <c r="AD42" i="3"/>
  <c r="AC39" i="3"/>
  <c r="AF35" i="3"/>
  <c r="AE34" i="3"/>
  <c r="P10" i="3"/>
  <c r="R10" i="3" s="1"/>
  <c r="D63" i="3" a="1"/>
  <c r="D63" i="3" s="1"/>
  <c r="AW10" i="3"/>
  <c r="AE10" i="3"/>
  <c r="AL10" i="3"/>
  <c r="P27" i="3"/>
  <c r="R27" i="3" s="1"/>
  <c r="U27" i="3" s="1"/>
  <c r="X27" i="3" s="1"/>
  <c r="W27" i="3" s="1"/>
  <c r="AS27" i="3"/>
  <c r="AT27" i="3"/>
  <c r="AZ27" i="3"/>
  <c r="BC27" i="3"/>
  <c r="BF27" i="3"/>
  <c r="BG27" i="3"/>
  <c r="P31" i="3"/>
  <c r="R31" i="3" s="1"/>
  <c r="U31" i="3" s="1"/>
  <c r="X31" i="3" s="1"/>
  <c r="W31" i="3" s="1"/>
  <c r="AA31" i="3"/>
  <c r="P37" i="3"/>
  <c r="R37" i="3" s="1"/>
  <c r="U37" i="3" s="1"/>
  <c r="X37" i="3" s="1"/>
  <c r="W37" i="3" s="1"/>
  <c r="P43" i="3"/>
  <c r="R43" i="3" s="1"/>
  <c r="U43" i="3" s="1"/>
  <c r="X43" i="3" s="1"/>
  <c r="W43" i="3" s="1"/>
  <c r="Z43" i="3"/>
  <c r="AX43" i="3"/>
  <c r="BQ43" i="3"/>
  <c r="BZ43" i="3"/>
  <c r="BC43" i="3"/>
  <c r="AA43" i="3"/>
  <c r="AY43" i="3"/>
  <c r="BR43" i="3"/>
  <c r="AH43" i="3"/>
  <c r="CA43" i="3"/>
  <c r="AG43" i="3"/>
  <c r="BA43" i="3"/>
  <c r="BY43" i="3"/>
  <c r="BB43" i="3"/>
  <c r="AJ43" i="3"/>
  <c r="AK43" i="3"/>
  <c r="BD43" i="3"/>
  <c r="CB43" i="3"/>
  <c r="BK45" i="3"/>
  <c r="BF10" i="3"/>
  <c r="AE12" i="3"/>
  <c r="AQ12" i="3"/>
  <c r="BC12" i="3"/>
  <c r="AK12" i="3"/>
  <c r="AX12" i="3"/>
  <c r="Z12" i="3"/>
  <c r="AN12" i="3"/>
  <c r="BB12" i="3"/>
  <c r="AA12" i="3"/>
  <c r="AO12" i="3"/>
  <c r="AB12" i="3"/>
  <c r="AP12" i="3"/>
  <c r="AG12" i="3"/>
  <c r="AU12" i="3"/>
  <c r="AC12" i="3"/>
  <c r="AW12" i="3"/>
  <c r="AF12" i="3"/>
  <c r="AZ12" i="3"/>
  <c r="AJ12" i="3"/>
  <c r="AM12" i="3"/>
  <c r="AV12" i="3"/>
  <c r="BA12" i="3"/>
  <c r="AH12" i="3"/>
  <c r="AT12" i="3"/>
  <c r="AY12" i="3"/>
  <c r="Y12" i="3"/>
  <c r="AD12" i="3"/>
  <c r="AL12" i="3"/>
  <c r="AS12" i="3"/>
  <c r="AI12" i="3"/>
  <c r="AR12" i="3"/>
  <c r="AE16" i="3"/>
  <c r="AB16" i="3"/>
  <c r="AG16" i="3"/>
  <c r="AH16" i="3"/>
  <c r="AL16" i="3"/>
  <c r="AF16" i="3"/>
  <c r="AJ16" i="3"/>
  <c r="Y16" i="3"/>
  <c r="AD16" i="3"/>
  <c r="Z16" i="3"/>
  <c r="AA16" i="3"/>
  <c r="AC16" i="3"/>
  <c r="AM16" i="3"/>
  <c r="AI16" i="3"/>
  <c r="AK16" i="3"/>
  <c r="AE18" i="3"/>
  <c r="AI18" i="3"/>
  <c r="AA18" i="3"/>
  <c r="Y18" i="3"/>
  <c r="AC18" i="3"/>
  <c r="AF18" i="3"/>
  <c r="AH18" i="3"/>
  <c r="Z18" i="3"/>
  <c r="AB18" i="3"/>
  <c r="AD18" i="3"/>
  <c r="AG18" i="3"/>
  <c r="AE22" i="3"/>
  <c r="AG22" i="3"/>
  <c r="AS22" i="3"/>
  <c r="BE22" i="3"/>
  <c r="AH22" i="3"/>
  <c r="AU22" i="3"/>
  <c r="BH22" i="3"/>
  <c r="AI22" i="3"/>
  <c r="AW22" i="3"/>
  <c r="AJ22" i="3"/>
  <c r="AX22" i="3"/>
  <c r="AK22" i="3"/>
  <c r="AY22" i="3"/>
  <c r="Z22" i="3"/>
  <c r="AO22" i="3"/>
  <c r="BC22" i="3"/>
  <c r="AD22" i="3"/>
  <c r="BB22" i="3"/>
  <c r="AF22" i="3"/>
  <c r="BD22" i="3"/>
  <c r="AM22" i="3"/>
  <c r="BG22" i="3"/>
  <c r="AP22" i="3"/>
  <c r="AT22" i="3"/>
  <c r="AV22" i="3"/>
  <c r="AA22" i="3"/>
  <c r="BI22" i="3"/>
  <c r="AB22" i="3"/>
  <c r="Y22" i="3"/>
  <c r="AL22" i="3"/>
  <c r="AR22" i="3"/>
  <c r="AZ22" i="3"/>
  <c r="AN22" i="3"/>
  <c r="AQ22" i="3"/>
  <c r="BA22" i="3"/>
  <c r="BF22" i="3"/>
  <c r="Y24" i="3"/>
  <c r="Y28" i="3"/>
  <c r="Z28" i="3"/>
  <c r="AJ32" i="3"/>
  <c r="AV32" i="3"/>
  <c r="BH32" i="3"/>
  <c r="BT32" i="3"/>
  <c r="CF32" i="3"/>
  <c r="Y32" i="3"/>
  <c r="AK32" i="3"/>
  <c r="AW32" i="3"/>
  <c r="BI32" i="3"/>
  <c r="BU32" i="3"/>
  <c r="CG32" i="3"/>
  <c r="AG32" i="3"/>
  <c r="AU32" i="3"/>
  <c r="BK32" i="3"/>
  <c r="BY32" i="3"/>
  <c r="CM32" i="3"/>
  <c r="AB32" i="3"/>
  <c r="AQ32" i="3"/>
  <c r="BF32" i="3"/>
  <c r="BW32" i="3"/>
  <c r="CL32" i="3"/>
  <c r="AH32" i="3"/>
  <c r="AY32" i="3"/>
  <c r="BN32" i="3"/>
  <c r="CC32" i="3"/>
  <c r="AI32" i="3"/>
  <c r="AZ32" i="3"/>
  <c r="BO32" i="3"/>
  <c r="CD32" i="3"/>
  <c r="AF32" i="3"/>
  <c r="BC32" i="3"/>
  <c r="BX32" i="3"/>
  <c r="CQ32" i="3"/>
  <c r="AL32" i="3"/>
  <c r="BD32" i="3"/>
  <c r="BZ32" i="3"/>
  <c r="AM32" i="3"/>
  <c r="BE32" i="3"/>
  <c r="CA32" i="3"/>
  <c r="AN32" i="3"/>
  <c r="BG32" i="3"/>
  <c r="CB32" i="3"/>
  <c r="BA32" i="3"/>
  <c r="CI32" i="3"/>
  <c r="AD32" i="3"/>
  <c r="CO32" i="3"/>
  <c r="Z32" i="3"/>
  <c r="BB32" i="3"/>
  <c r="CJ32" i="3"/>
  <c r="AC32" i="3"/>
  <c r="AA32" i="3"/>
  <c r="BJ32" i="3"/>
  <c r="CK32" i="3"/>
  <c r="BL32" i="3"/>
  <c r="CN32" i="3"/>
  <c r="BM32" i="3"/>
  <c r="AE32" i="3"/>
  <c r="BP32" i="3"/>
  <c r="CP32" i="3"/>
  <c r="AO32" i="3"/>
  <c r="BQ32" i="3"/>
  <c r="AQ10" i="3"/>
  <c r="AT45" i="3"/>
  <c r="AB44" i="3"/>
  <c r="AL43" i="3"/>
  <c r="AC42" i="3"/>
  <c r="AA39" i="3"/>
  <c r="AD34" i="3"/>
  <c r="BV32" i="3"/>
  <c r="AF31" i="3"/>
  <c r="AJ10" i="3"/>
  <c r="AV10" i="3"/>
  <c r="BH10" i="3"/>
  <c r="Z10" i="3"/>
  <c r="AM10" i="3"/>
  <c r="AZ10" i="3"/>
  <c r="AA10" i="3"/>
  <c r="AN10" i="3"/>
  <c r="BA10" i="3"/>
  <c r="AB10" i="3"/>
  <c r="AO10" i="3"/>
  <c r="BB10" i="3"/>
  <c r="AC10" i="3"/>
  <c r="AP10" i="3"/>
  <c r="BC10" i="3"/>
  <c r="R12" i="3"/>
  <c r="U12" i="3" s="1"/>
  <c r="X12" i="3" s="1"/>
  <c r="W12" i="3" s="1"/>
  <c r="R14" i="3"/>
  <c r="T14" i="3" s="1"/>
  <c r="R16" i="3"/>
  <c r="T16" i="3" s="1"/>
  <c r="R18" i="3"/>
  <c r="U18" i="3" s="1"/>
  <c r="X18" i="3" s="1"/>
  <c r="W18" i="3" s="1"/>
  <c r="R20" i="3"/>
  <c r="U20" i="3" s="1"/>
  <c r="X20" i="3" s="1"/>
  <c r="W20" i="3" s="1"/>
  <c r="R22" i="3"/>
  <c r="T22" i="3" s="1"/>
  <c r="R24" i="3"/>
  <c r="U24" i="3" s="1"/>
  <c r="X24" i="3" s="1"/>
  <c r="W24" i="3" s="1"/>
  <c r="R26" i="3"/>
  <c r="U26" i="3" s="1"/>
  <c r="X26" i="3" s="1"/>
  <c r="W26" i="3" s="1"/>
  <c r="R28" i="3"/>
  <c r="U28" i="3" s="1"/>
  <c r="X28" i="3" s="1"/>
  <c r="W28" i="3" s="1"/>
  <c r="R30" i="3"/>
  <c r="T30" i="3" s="1"/>
  <c r="R32" i="3"/>
  <c r="T32" i="3" s="1"/>
  <c r="R34" i="3"/>
  <c r="T34" i="3" s="1"/>
  <c r="R36" i="3"/>
  <c r="U36" i="3" s="1"/>
  <c r="X36" i="3" s="1"/>
  <c r="W36" i="3" s="1"/>
  <c r="R38" i="3"/>
  <c r="U38" i="3" s="1"/>
  <c r="X38" i="3" s="1"/>
  <c r="W38" i="3" s="1"/>
  <c r="R40" i="3"/>
  <c r="T40" i="3" s="1"/>
  <c r="R42" i="3"/>
  <c r="U42" i="3" s="1"/>
  <c r="X42" i="3" s="1"/>
  <c r="W42" i="3" s="1"/>
  <c r="R44" i="3"/>
  <c r="U44" i="3" s="1"/>
  <c r="X44" i="3" s="1"/>
  <c r="W44" i="3" s="1"/>
  <c r="R46" i="3"/>
  <c r="T46" i="3" s="1"/>
  <c r="F11" i="4"/>
  <c r="AY10" i="3"/>
  <c r="AG10" i="3"/>
  <c r="AU10" i="3"/>
  <c r="AD10" i="3"/>
  <c r="AT10" i="3"/>
  <c r="AE11" i="3"/>
  <c r="AQ11" i="3"/>
  <c r="BC11" i="3"/>
  <c r="BO11" i="3"/>
  <c r="CA11" i="3"/>
  <c r="AH11" i="3"/>
  <c r="Y11" i="3"/>
  <c r="Z11" i="3"/>
  <c r="AM11" i="3"/>
  <c r="AZ11" i="3"/>
  <c r="BM11" i="3"/>
  <c r="BZ11" i="3"/>
  <c r="AA11" i="3"/>
  <c r="AB11" i="3"/>
  <c r="AO11" i="3"/>
  <c r="BB11" i="3"/>
  <c r="BP11" i="3"/>
  <c r="AR11" i="3"/>
  <c r="BG11" i="3"/>
  <c r="BV11" i="3"/>
  <c r="AS11" i="3"/>
  <c r="BH11" i="3"/>
  <c r="BW11" i="3"/>
  <c r="AC11" i="3"/>
  <c r="AT11" i="3"/>
  <c r="BI11" i="3"/>
  <c r="BX11" i="3"/>
  <c r="AG11" i="3"/>
  <c r="AW11" i="3"/>
  <c r="BL11" i="3"/>
  <c r="AI11" i="3"/>
  <c r="AX11" i="3"/>
  <c r="BN11" i="3"/>
  <c r="BA11" i="3"/>
  <c r="CB11" i="3"/>
  <c r="AD11" i="3"/>
  <c r="BE11" i="3"/>
  <c r="AK11" i="3"/>
  <c r="BK11" i="3"/>
  <c r="AN11" i="3"/>
  <c r="BR11" i="3"/>
  <c r="BQ11" i="3"/>
  <c r="AF11" i="3"/>
  <c r="BT11" i="3"/>
  <c r="AU11" i="3"/>
  <c r="BY11" i="3"/>
  <c r="AJ11" i="3"/>
  <c r="AV11" i="3"/>
  <c r="AY11" i="3"/>
  <c r="BD11" i="3"/>
  <c r="AL11" i="3"/>
  <c r="AP11" i="3"/>
  <c r="BJ11" i="3"/>
  <c r="BF11" i="3"/>
  <c r="BS11" i="3"/>
  <c r="BU11" i="3"/>
  <c r="AE13" i="3"/>
  <c r="AQ13" i="3"/>
  <c r="AI13" i="3"/>
  <c r="AJ13" i="3"/>
  <c r="AK13" i="3"/>
  <c r="AA13" i="3"/>
  <c r="AO13" i="3"/>
  <c r="AD13" i="3"/>
  <c r="AG13" i="3"/>
  <c r="AM13" i="3"/>
  <c r="AP13" i="3"/>
  <c r="Z13" i="3"/>
  <c r="AH13" i="3"/>
  <c r="AB13" i="3"/>
  <c r="AC13" i="3"/>
  <c r="AF13" i="3"/>
  <c r="AN13" i="3"/>
  <c r="AE15" i="3"/>
  <c r="AD15" i="3"/>
  <c r="Y15" i="3"/>
  <c r="AC15" i="3"/>
  <c r="AK15" i="3"/>
  <c r="AA15" i="3"/>
  <c r="AF15" i="3"/>
  <c r="AJ15" i="3"/>
  <c r="AB15" i="3"/>
  <c r="AG15" i="3"/>
  <c r="AH15" i="3"/>
  <c r="Z15" i="3"/>
  <c r="AI15" i="3"/>
  <c r="AE17" i="3"/>
  <c r="AQ17" i="3"/>
  <c r="BC17" i="3"/>
  <c r="Z17" i="3"/>
  <c r="AM17" i="3"/>
  <c r="AZ17" i="3"/>
  <c r="AA17" i="3"/>
  <c r="AO17" i="3"/>
  <c r="BD17" i="3"/>
  <c r="AB17" i="3"/>
  <c r="AP17" i="3"/>
  <c r="BE17" i="3"/>
  <c r="AG17" i="3"/>
  <c r="AU17" i="3"/>
  <c r="Y17" i="3"/>
  <c r="AT17" i="3"/>
  <c r="AD17" i="3"/>
  <c r="AW17" i="3"/>
  <c r="AI17" i="3"/>
  <c r="BA17" i="3"/>
  <c r="AK17" i="3"/>
  <c r="BF17" i="3"/>
  <c r="BB17" i="3"/>
  <c r="AN17" i="3"/>
  <c r="AC17" i="3"/>
  <c r="AF17" i="3"/>
  <c r="AH17" i="3"/>
  <c r="AR17" i="3"/>
  <c r="AS17" i="3"/>
  <c r="AV17" i="3"/>
  <c r="AL17" i="3"/>
  <c r="AX17" i="3"/>
  <c r="AY17" i="3"/>
  <c r="AE19" i="3"/>
  <c r="AQ19" i="3"/>
  <c r="AI19" i="3"/>
  <c r="AV19" i="3"/>
  <c r="AC19" i="3"/>
  <c r="AR19" i="3"/>
  <c r="AH19" i="3"/>
  <c r="AX19" i="3"/>
  <c r="AK19" i="3"/>
  <c r="AZ19" i="3"/>
  <c r="Y19" i="3"/>
  <c r="AN19" i="3"/>
  <c r="AA19" i="3"/>
  <c r="AP19" i="3"/>
  <c r="Z19" i="3"/>
  <c r="AW19" i="3"/>
  <c r="AL19" i="3"/>
  <c r="AO19" i="3"/>
  <c r="AS19" i="3"/>
  <c r="AT19" i="3"/>
  <c r="AB19" i="3"/>
  <c r="AD19" i="3"/>
  <c r="AG19" i="3"/>
  <c r="AU19" i="3"/>
  <c r="AY19" i="3"/>
  <c r="AJ19" i="3"/>
  <c r="AF19" i="3"/>
  <c r="AM19" i="3"/>
  <c r="AE21" i="3"/>
  <c r="AQ21" i="3"/>
  <c r="BC21" i="3"/>
  <c r="AG21" i="3"/>
  <c r="AS21" i="3"/>
  <c r="BE21" i="3"/>
  <c r="AL21" i="3"/>
  <c r="AZ21" i="3"/>
  <c r="AB21" i="3"/>
  <c r="AR21" i="3"/>
  <c r="BH21" i="3"/>
  <c r="AC21" i="3"/>
  <c r="AT21" i="3"/>
  <c r="BI21" i="3"/>
  <c r="AD21" i="3"/>
  <c r="AU21" i="3"/>
  <c r="BJ21" i="3"/>
  <c r="AJ21" i="3"/>
  <c r="AY21" i="3"/>
  <c r="AI21" i="3"/>
  <c r="BF21" i="3"/>
  <c r="AK21" i="3"/>
  <c r="BG21" i="3"/>
  <c r="AN21" i="3"/>
  <c r="BL21" i="3"/>
  <c r="AP21" i="3"/>
  <c r="Z21" i="3"/>
  <c r="BK21" i="3"/>
  <c r="AA21" i="3"/>
  <c r="AO21" i="3"/>
  <c r="AV21" i="3"/>
  <c r="AM21" i="3"/>
  <c r="AX21" i="3"/>
  <c r="BD21" i="3"/>
  <c r="AH21" i="3"/>
  <c r="AW21" i="3"/>
  <c r="BA21" i="3"/>
  <c r="BB21" i="3"/>
  <c r="AH27" i="3"/>
  <c r="AM35" i="3"/>
  <c r="AK39" i="3"/>
  <c r="AF43" i="3"/>
  <c r="AF45" i="3"/>
  <c r="AS10" i="3"/>
  <c r="Y21" i="3"/>
  <c r="BT45" i="3"/>
  <c r="BF45" i="3"/>
  <c r="AS45" i="3"/>
  <c r="BW43" i="3"/>
  <c r="BI43" i="3"/>
  <c r="AT43" i="3"/>
  <c r="BD35" i="3"/>
  <c r="AC23" i="3"/>
  <c r="Z23" i="3"/>
  <c r="AA23" i="3"/>
  <c r="AB23" i="3"/>
  <c r="AG23" i="3"/>
  <c r="Y23" i="3"/>
  <c r="AD23" i="3"/>
  <c r="AC25" i="3"/>
  <c r="AO25" i="3"/>
  <c r="AI25" i="3"/>
  <c r="AJ25" i="3"/>
  <c r="AB25" i="3"/>
  <c r="AP25" i="3"/>
  <c r="AG25" i="3"/>
  <c r="AK25" i="3"/>
  <c r="AM25" i="3"/>
  <c r="AA25" i="3"/>
  <c r="AD25" i="3"/>
  <c r="AL25" i="3"/>
  <c r="AN25" i="3"/>
  <c r="Y25" i="3"/>
  <c r="AE25" i="3"/>
  <c r="AJ27" i="3"/>
  <c r="AV27" i="3"/>
  <c r="BH27" i="3"/>
  <c r="Y27" i="3"/>
  <c r="AK27" i="3"/>
  <c r="AW27" i="3"/>
  <c r="BI27" i="3"/>
  <c r="AD27" i="3"/>
  <c r="AP27" i="3"/>
  <c r="BB27" i="3"/>
  <c r="BN27" i="3"/>
  <c r="AL27" i="3"/>
  <c r="BA27" i="3"/>
  <c r="AF27" i="3"/>
  <c r="AX27" i="3"/>
  <c r="AM27" i="3"/>
  <c r="BD27" i="3"/>
  <c r="AN27" i="3"/>
  <c r="BE27" i="3"/>
  <c r="AO27" i="3"/>
  <c r="BK27" i="3"/>
  <c r="AR27" i="3"/>
  <c r="BM27" i="3"/>
  <c r="AA27" i="3"/>
  <c r="AU27" i="3"/>
  <c r="AB27" i="3"/>
  <c r="AY27" i="3"/>
  <c r="Y31" i="3"/>
  <c r="Z31" i="3"/>
  <c r="AC31" i="3"/>
  <c r="AH31" i="3"/>
  <c r="AI31" i="3"/>
  <c r="Y33" i="3"/>
  <c r="AI35" i="3"/>
  <c r="AU35" i="3"/>
  <c r="BG35" i="3"/>
  <c r="AB35" i="3"/>
  <c r="AN35" i="3"/>
  <c r="AZ35" i="3"/>
  <c r="AC35" i="3"/>
  <c r="AO35" i="3"/>
  <c r="BA35" i="3"/>
  <c r="AI39" i="3"/>
  <c r="AB39" i="3"/>
  <c r="AN39" i="3"/>
  <c r="AI43" i="3"/>
  <c r="AU43" i="3"/>
  <c r="BG43" i="3"/>
  <c r="BS43" i="3"/>
  <c r="AB43" i="3"/>
  <c r="AN43" i="3"/>
  <c r="AZ43" i="3"/>
  <c r="BL43" i="3"/>
  <c r="BX43" i="3"/>
  <c r="AI45" i="3"/>
  <c r="AU45" i="3"/>
  <c r="BG45" i="3"/>
  <c r="BS45" i="3"/>
  <c r="BR45" i="3"/>
  <c r="BE45" i="3"/>
  <c r="AR45" i="3"/>
  <c r="AE45" i="3"/>
  <c r="BV43" i="3"/>
  <c r="BH43" i="3"/>
  <c r="AS43" i="3"/>
  <c r="AE43" i="3"/>
  <c r="AJ39" i="3"/>
  <c r="BC35" i="3"/>
  <c r="AL35" i="3"/>
  <c r="AG27" i="3"/>
  <c r="BQ45" i="3"/>
  <c r="BD45" i="3"/>
  <c r="AQ45" i="3"/>
  <c r="AD45" i="3"/>
  <c r="BU43" i="3"/>
  <c r="BF43" i="3"/>
  <c r="AR43" i="3"/>
  <c r="AD43" i="3"/>
  <c r="AH39" i="3"/>
  <c r="BB35" i="3"/>
  <c r="AK35" i="3"/>
  <c r="BL27" i="3"/>
  <c r="AE27" i="3"/>
  <c r="AF23" i="3"/>
  <c r="BP45" i="3"/>
  <c r="BC45" i="3"/>
  <c r="AP45" i="3"/>
  <c r="AC45" i="3"/>
  <c r="BT43" i="3"/>
  <c r="BE43" i="3"/>
  <c r="AQ43" i="3"/>
  <c r="AC43" i="3"/>
  <c r="AG39" i="3"/>
  <c r="AY35" i="3"/>
  <c r="AJ35" i="3"/>
  <c r="BJ27" i="3"/>
  <c r="AC27" i="3"/>
  <c r="AE23" i="3"/>
  <c r="C6" i="5"/>
  <c r="C51" i="4"/>
  <c r="C50" i="4"/>
  <c r="M37" i="4"/>
  <c r="L37" i="4"/>
  <c r="K37" i="4"/>
  <c r="J37" i="4"/>
  <c r="I37" i="4"/>
  <c r="H37" i="4"/>
  <c r="G37" i="4"/>
  <c r="F37" i="4"/>
  <c r="M46" i="4" s="1"/>
  <c r="M36" i="4"/>
  <c r="M38" i="4" s="1"/>
  <c r="L36" i="4"/>
  <c r="L38" i="4" s="1"/>
  <c r="K36" i="4"/>
  <c r="J36" i="4"/>
  <c r="I36" i="4"/>
  <c r="H36" i="4"/>
  <c r="G36" i="4"/>
  <c r="F36" i="4"/>
  <c r="E36" i="4"/>
  <c r="E38" i="4" s="1"/>
  <c r="D36" i="4"/>
  <c r="D38" i="4" s="1"/>
  <c r="C31" i="2"/>
  <c r="C30" i="2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U13" i="3"/>
  <c r="X13" i="3" s="1"/>
  <c r="W13" i="3" s="1"/>
  <c r="T13" i="3"/>
  <c r="U17" i="3"/>
  <c r="X17" i="3" s="1"/>
  <c r="W17" i="3" s="1"/>
  <c r="U19" i="3"/>
  <c r="X19" i="3" s="1"/>
  <c r="W19" i="3" s="1"/>
  <c r="T19" i="3"/>
  <c r="I38" i="4" l="1"/>
  <c r="F38" i="4"/>
  <c r="G38" i="4"/>
  <c r="CY19" i="3"/>
  <c r="H38" i="4"/>
  <c r="T26" i="3"/>
  <c r="CL26" i="3" s="1"/>
  <c r="T11" i="3"/>
  <c r="CR11" i="3" s="1"/>
  <c r="T15" i="3"/>
  <c r="AN15" i="3" s="1"/>
  <c r="U45" i="3"/>
  <c r="X45" i="3" s="1"/>
  <c r="W45" i="3" s="1"/>
  <c r="U30" i="3"/>
  <c r="X30" i="3" s="1"/>
  <c r="T12" i="3"/>
  <c r="BM12" i="3" s="1"/>
  <c r="T28" i="3"/>
  <c r="CA28" i="3" s="1"/>
  <c r="T29" i="3"/>
  <c r="EG29" i="3" s="1"/>
  <c r="CQ13" i="3"/>
  <c r="T21" i="3"/>
  <c r="EH21" i="3" s="1"/>
  <c r="T38" i="3"/>
  <c r="EG38" i="3" s="1"/>
  <c r="T37" i="3"/>
  <c r="AC37" i="3" s="1"/>
  <c r="DR19" i="3"/>
  <c r="CT17" i="3"/>
  <c r="T24" i="3"/>
  <c r="T27" i="3"/>
  <c r="CN27" i="3" s="1"/>
  <c r="T43" i="3"/>
  <c r="CH43" i="3" s="1"/>
  <c r="U40" i="3"/>
  <c r="X40" i="3" s="1"/>
  <c r="U14" i="3"/>
  <c r="X14" i="3" s="1"/>
  <c r="U39" i="3"/>
  <c r="X39" i="3" s="1"/>
  <c r="DZ39" i="3" s="1"/>
  <c r="BX13" i="3"/>
  <c r="BE13" i="3"/>
  <c r="DQ13" i="3"/>
  <c r="DC13" i="3"/>
  <c r="T36" i="3"/>
  <c r="EN36" i="3" s="1"/>
  <c r="EB37" i="3"/>
  <c r="EA19" i="3"/>
  <c r="BF13" i="3"/>
  <c r="DY13" i="3"/>
  <c r="T44" i="3"/>
  <c r="DT44" i="3" s="1"/>
  <c r="T42" i="3"/>
  <c r="DQ42" i="3" s="1"/>
  <c r="U16" i="3"/>
  <c r="X16" i="3" s="1"/>
  <c r="T25" i="3"/>
  <c r="DZ25" i="3" s="1"/>
  <c r="CO13" i="3"/>
  <c r="U34" i="3"/>
  <c r="X34" i="3" s="1"/>
  <c r="W34" i="3" s="1"/>
  <c r="BT13" i="3"/>
  <c r="T41" i="3"/>
  <c r="CU41" i="3" s="1"/>
  <c r="T33" i="3"/>
  <c r="DZ33" i="3" s="1"/>
  <c r="BY19" i="3"/>
  <c r="EC19" i="3"/>
  <c r="T18" i="3"/>
  <c r="DA18" i="3" s="1"/>
  <c r="BI19" i="3"/>
  <c r="DL26" i="3"/>
  <c r="BK19" i="3"/>
  <c r="DT19" i="3"/>
  <c r="AC46" i="3"/>
  <c r="AD46" i="3"/>
  <c r="CA17" i="3"/>
  <c r="DB19" i="3"/>
  <c r="DE19" i="3"/>
  <c r="BQ17" i="3"/>
  <c r="EL17" i="3"/>
  <c r="EA17" i="3"/>
  <c r="BO17" i="3"/>
  <c r="BU13" i="3"/>
  <c r="BZ13" i="3"/>
  <c r="DN11" i="3"/>
  <c r="DB11" i="3"/>
  <c r="DL11" i="3"/>
  <c r="U22" i="3"/>
  <c r="X22" i="3" s="1"/>
  <c r="CM22" i="3" s="1"/>
  <c r="CX19" i="3"/>
  <c r="CB19" i="3"/>
  <c r="CQ19" i="3"/>
  <c r="DL17" i="3"/>
  <c r="DX17" i="3"/>
  <c r="DN17" i="3"/>
  <c r="BG13" i="3"/>
  <c r="DG13" i="3"/>
  <c r="BL13" i="3"/>
  <c r="DX11" i="3"/>
  <c r="CD11" i="3"/>
  <c r="CM17" i="3"/>
  <c r="AB37" i="3"/>
  <c r="BA19" i="3"/>
  <c r="CC19" i="3"/>
  <c r="CL17" i="3"/>
  <c r="EH17" i="3"/>
  <c r="DR17" i="3"/>
  <c r="DA17" i="3"/>
  <c r="BW13" i="3"/>
  <c r="CE13" i="3"/>
  <c r="CT13" i="3"/>
  <c r="EK11" i="3"/>
  <c r="CE11" i="3"/>
  <c r="DI11" i="3"/>
  <c r="BR26" i="3"/>
  <c r="CK17" i="3"/>
  <c r="EH11" i="3"/>
  <c r="DF11" i="3"/>
  <c r="DQ19" i="3"/>
  <c r="CH17" i="3"/>
  <c r="CX17" i="3"/>
  <c r="CN17" i="3"/>
  <c r="EH13" i="3"/>
  <c r="BB13" i="3"/>
  <c r="CF13" i="3"/>
  <c r="DU11" i="3"/>
  <c r="CI11" i="3"/>
  <c r="CW19" i="3"/>
  <c r="CJ19" i="3"/>
  <c r="BT17" i="3"/>
  <c r="EF17" i="3"/>
  <c r="CE17" i="3"/>
  <c r="BZ17" i="3"/>
  <c r="EM15" i="3"/>
  <c r="BJ13" i="3"/>
  <c r="BR13" i="3"/>
  <c r="EI13" i="3"/>
  <c r="EE11" i="3"/>
  <c r="BC26" i="3"/>
  <c r="DU26" i="3"/>
  <c r="DD17" i="3"/>
  <c r="CY11" i="3"/>
  <c r="CM19" i="3"/>
  <c r="BS19" i="3"/>
  <c r="CW17" i="3"/>
  <c r="BL17" i="3"/>
  <c r="EK17" i="3"/>
  <c r="BM17" i="3"/>
  <c r="ED13" i="3"/>
  <c r="BD13" i="3"/>
  <c r="CA13" i="3"/>
  <c r="DF26" i="3"/>
  <c r="BU17" i="3"/>
  <c r="CC17" i="3"/>
  <c r="CL11" i="3"/>
  <c r="T20" i="3"/>
  <c r="CT20" i="3" s="1"/>
  <c r="BD19" i="3"/>
  <c r="EG17" i="3"/>
  <c r="DZ17" i="3"/>
  <c r="DV17" i="3"/>
  <c r="BO13" i="3"/>
  <c r="DS11" i="3"/>
  <c r="EI11" i="3"/>
  <c r="CX11" i="3"/>
  <c r="DU17" i="3"/>
  <c r="CS17" i="3"/>
  <c r="U46" i="3"/>
  <c r="X46" i="3" s="1"/>
  <c r="T31" i="3"/>
  <c r="AL31" i="3" s="1"/>
  <c r="CI19" i="3"/>
  <c r="DH17" i="3"/>
  <c r="EM13" i="3"/>
  <c r="BC13" i="3"/>
  <c r="EB11" i="3"/>
  <c r="EN11" i="3"/>
  <c r="DW11" i="3"/>
  <c r="CY17" i="3"/>
  <c r="DM17" i="3"/>
  <c r="EJ11" i="3"/>
  <c r="EN17" i="3"/>
  <c r="DL19" i="3"/>
  <c r="BK17" i="3"/>
  <c r="DF17" i="3"/>
  <c r="CR13" i="3"/>
  <c r="DQ11" i="3"/>
  <c r="BL19" i="3"/>
  <c r="EM19" i="3"/>
  <c r="BV19" i="3"/>
  <c r="CO17" i="3"/>
  <c r="CZ17" i="3"/>
  <c r="DC11" i="3"/>
  <c r="ED11" i="3"/>
  <c r="DM11" i="3"/>
  <c r="EA11" i="3"/>
  <c r="BS34" i="3"/>
  <c r="BT34" i="3"/>
  <c r="BU34" i="3"/>
  <c r="CR32" i="3"/>
  <c r="CB45" i="3"/>
  <c r="CA45" i="3"/>
  <c r="CD45" i="3"/>
  <c r="CE21" i="3"/>
  <c r="BJ22" i="3"/>
  <c r="DS38" i="3"/>
  <c r="CA38" i="3"/>
  <c r="AH38" i="3"/>
  <c r="DY38" i="3"/>
  <c r="CB38" i="3"/>
  <c r="CR38" i="3"/>
  <c r="DF38" i="3"/>
  <c r="ED38" i="3"/>
  <c r="BE38" i="3"/>
  <c r="AI38" i="3"/>
  <c r="U32" i="3"/>
  <c r="X32" i="3" s="1"/>
  <c r="DH21" i="3"/>
  <c r="AY38" i="3"/>
  <c r="DB26" i="3"/>
  <c r="CM13" i="3"/>
  <c r="DV13" i="3"/>
  <c r="BM13" i="3"/>
  <c r="DH13" i="3"/>
  <c r="CL13" i="3"/>
  <c r="CU13" i="3"/>
  <c r="EA13" i="3"/>
  <c r="AR13" i="3"/>
  <c r="CD13" i="3"/>
  <c r="CY13" i="3"/>
  <c r="EJ13" i="3"/>
  <c r="CB13" i="3"/>
  <c r="DX13" i="3"/>
  <c r="DF13" i="3"/>
  <c r="DN13" i="3"/>
  <c r="BK13" i="3"/>
  <c r="DO13" i="3"/>
  <c r="CG13" i="3"/>
  <c r="DK13" i="3"/>
  <c r="CP13" i="3"/>
  <c r="EL13" i="3"/>
  <c r="DZ13" i="3"/>
  <c r="EG13" i="3"/>
  <c r="CN13" i="3"/>
  <c r="BN13" i="3"/>
  <c r="AS13" i="3"/>
  <c r="CS13" i="3"/>
  <c r="DW13" i="3"/>
  <c r="AX13" i="3"/>
  <c r="DD13" i="3"/>
  <c r="AU13" i="3"/>
  <c r="DP13" i="3"/>
  <c r="CX13" i="3"/>
  <c r="DS13" i="3"/>
  <c r="DM13" i="3"/>
  <c r="BX19" i="3"/>
  <c r="CK13" i="3"/>
  <c r="DF19" i="3"/>
  <c r="AU39" i="3"/>
  <c r="CK19" i="3"/>
  <c r="AZ13" i="3"/>
  <c r="DI13" i="3"/>
  <c r="EK19" i="3"/>
  <c r="EF13" i="3"/>
  <c r="CD21" i="3"/>
  <c r="EL19" i="3"/>
  <c r="BP19" i="3"/>
  <c r="CV19" i="3"/>
  <c r="BO19" i="3"/>
  <c r="DY17" i="3"/>
  <c r="BN17" i="3"/>
  <c r="DG17" i="3"/>
  <c r="BP17" i="3"/>
  <c r="BW17" i="3"/>
  <c r="DJ15" i="3"/>
  <c r="EB13" i="3"/>
  <c r="EN13" i="3"/>
  <c r="CH13" i="3"/>
  <c r="BH13" i="3"/>
  <c r="DB13" i="3"/>
  <c r="DR13" i="3"/>
  <c r="CI13" i="3"/>
  <c r="CN38" i="3"/>
  <c r="DD38" i="3"/>
  <c r="BQ38" i="3"/>
  <c r="DT38" i="3"/>
  <c r="BL22" i="3"/>
  <c r="AB46" i="3"/>
  <c r="AC40" i="3"/>
  <c r="AN16" i="3"/>
  <c r="CR39" i="3"/>
  <c r="CS21" i="3"/>
  <c r="CO21" i="3"/>
  <c r="CA21" i="3"/>
  <c r="DY21" i="3"/>
  <c r="DS21" i="3"/>
  <c r="BW15" i="3"/>
  <c r="CT15" i="3"/>
  <c r="BN15" i="3"/>
  <c r="DU15" i="3"/>
  <c r="CY26" i="3"/>
  <c r="AA38" i="3"/>
  <c r="DK19" i="3"/>
  <c r="AS15" i="3"/>
  <c r="CG19" i="3"/>
  <c r="DV19" i="3"/>
  <c r="BQ15" i="3"/>
  <c r="BS13" i="3"/>
  <c r="BA30" i="3"/>
  <c r="AZ30" i="3"/>
  <c r="AX30" i="3"/>
  <c r="AY30" i="3"/>
  <c r="CA19" i="3"/>
  <c r="DU13" i="3"/>
  <c r="CZ26" i="3"/>
  <c r="T35" i="3"/>
  <c r="BD29" i="3"/>
  <c r="T23" i="3"/>
  <c r="DW17" i="3"/>
  <c r="BS17" i="3"/>
  <c r="DO17" i="3"/>
  <c r="CI17" i="3"/>
  <c r="CQ17" i="3"/>
  <c r="BJ17" i="3"/>
  <c r="BY17" i="3"/>
  <c r="BV17" i="3"/>
  <c r="CP17" i="3"/>
  <c r="EI17" i="3"/>
  <c r="CG17" i="3"/>
  <c r="EC17" i="3"/>
  <c r="DC17" i="3"/>
  <c r="DJ17" i="3"/>
  <c r="CR17" i="3"/>
  <c r="DE17" i="3"/>
  <c r="EM17" i="3"/>
  <c r="DP17" i="3"/>
  <c r="CU17" i="3"/>
  <c r="DT17" i="3"/>
  <c r="ED17" i="3"/>
  <c r="EB17" i="3"/>
  <c r="CJ17" i="3"/>
  <c r="BR17" i="3"/>
  <c r="DI17" i="3"/>
  <c r="CB17" i="3"/>
  <c r="DB17" i="3"/>
  <c r="DT11" i="3"/>
  <c r="CH11" i="3"/>
  <c r="DO11" i="3"/>
  <c r="EF11" i="3"/>
  <c r="EL11" i="3"/>
  <c r="EM11" i="3"/>
  <c r="CO11" i="3"/>
  <c r="EC11" i="3"/>
  <c r="CC11" i="3"/>
  <c r="CS11" i="3"/>
  <c r="DV11" i="3"/>
  <c r="CG11" i="3"/>
  <c r="CU11" i="3"/>
  <c r="CM11" i="3"/>
  <c r="CN11" i="3"/>
  <c r="DE11" i="3"/>
  <c r="CP11" i="3"/>
  <c r="DR11" i="3"/>
  <c r="DH11" i="3"/>
  <c r="BN31" i="3"/>
  <c r="DU19" i="3"/>
  <c r="DZ19" i="3"/>
  <c r="DO19" i="3"/>
  <c r="CH19" i="3"/>
  <c r="BC19" i="3"/>
  <c r="BH17" i="3"/>
  <c r="CD17" i="3"/>
  <c r="BI17" i="3"/>
  <c r="CF17" i="3"/>
  <c r="CZ13" i="3"/>
  <c r="AT13" i="3"/>
  <c r="CJ13" i="3"/>
  <c r="AY13" i="3"/>
  <c r="BV13" i="3"/>
  <c r="CT11" i="3"/>
  <c r="EG11" i="3"/>
  <c r="DD11" i="3"/>
  <c r="CZ11" i="3"/>
  <c r="BT38" i="3"/>
  <c r="CK38" i="3"/>
  <c r="DV38" i="3"/>
  <c r="DH38" i="3"/>
  <c r="CC37" i="3"/>
  <c r="CU26" i="3"/>
  <c r="AT39" i="3"/>
  <c r="CT26" i="3"/>
  <c r="EK26" i="3"/>
  <c r="CI26" i="3"/>
  <c r="BK26" i="3"/>
  <c r="DR26" i="3"/>
  <c r="CD26" i="3"/>
  <c r="DX26" i="3"/>
  <c r="DN26" i="3"/>
  <c r="EM26" i="3"/>
  <c r="EB26" i="3"/>
  <c r="BF26" i="3"/>
  <c r="AU26" i="3"/>
  <c r="DS26" i="3"/>
  <c r="DI26" i="3"/>
  <c r="EJ26" i="3"/>
  <c r="CW26" i="3"/>
  <c r="CE26" i="3"/>
  <c r="BS26" i="3"/>
  <c r="CG26" i="3"/>
  <c r="BG26" i="3"/>
  <c r="BD26" i="3"/>
  <c r="DG26" i="3"/>
  <c r="DE26" i="3"/>
  <c r="CM26" i="3"/>
  <c r="DH26" i="3"/>
  <c r="BH26" i="3"/>
  <c r="DM26" i="3"/>
  <c r="BE26" i="3"/>
  <c r="CB26" i="3"/>
  <c r="BB26" i="3"/>
  <c r="AT26" i="3"/>
  <c r="CP26" i="3"/>
  <c r="DK26" i="3"/>
  <c r="BY26" i="3"/>
  <c r="BF38" i="3"/>
  <c r="DE38" i="3"/>
  <c r="AD37" i="3"/>
  <c r="DD19" i="3"/>
  <c r="BA13" i="3"/>
  <c r="AF38" i="3"/>
  <c r="CP19" i="3"/>
  <c r="DM38" i="3"/>
  <c r="DH42" i="3"/>
  <c r="ED19" i="3"/>
  <c r="DT13" i="3"/>
  <c r="CV13" i="3"/>
  <c r="CF38" i="3"/>
  <c r="DJ26" i="3"/>
  <c r="J38" i="4"/>
  <c r="CR19" i="3"/>
  <c r="EB19" i="3"/>
  <c r="BT19" i="3"/>
  <c r="DS17" i="3"/>
  <c r="EE17" i="3"/>
  <c r="CH15" i="3"/>
  <c r="DJ13" i="3"/>
  <c r="BP13" i="3"/>
  <c r="EC13" i="3"/>
  <c r="BQ13" i="3"/>
  <c r="BI13" i="3"/>
  <c r="CV11" i="3"/>
  <c r="CF11" i="3"/>
  <c r="DQ17" i="3"/>
  <c r="DG38" i="3"/>
  <c r="CV38" i="3"/>
  <c r="ED26" i="3"/>
  <c r="CC45" i="3"/>
  <c r="DF15" i="3"/>
  <c r="BM14" i="3"/>
  <c r="BL14" i="3"/>
  <c r="BK14" i="3"/>
  <c r="BS15" i="3"/>
  <c r="EC38" i="3"/>
  <c r="BA37" i="3"/>
  <c r="EI37" i="3"/>
  <c r="AH37" i="3"/>
  <c r="CQ37" i="3"/>
  <c r="BH37" i="3"/>
  <c r="CX37" i="3"/>
  <c r="EN37" i="3"/>
  <c r="AK37" i="3"/>
  <c r="CG37" i="3"/>
  <c r="CU19" i="3"/>
  <c r="EI19" i="3"/>
  <c r="CE19" i="3"/>
  <c r="BG19" i="3"/>
  <c r="BR19" i="3"/>
  <c r="BN19" i="3"/>
  <c r="CN19" i="3"/>
  <c r="DJ19" i="3"/>
  <c r="DG19" i="3"/>
  <c r="CS19" i="3"/>
  <c r="BW19" i="3"/>
  <c r="BJ19" i="3"/>
  <c r="CT19" i="3"/>
  <c r="BB19" i="3"/>
  <c r="DM19" i="3"/>
  <c r="DS19" i="3"/>
  <c r="DH19" i="3"/>
  <c r="CL19" i="3"/>
  <c r="CF19" i="3"/>
  <c r="DP19" i="3"/>
  <c r="CD19" i="3"/>
  <c r="BZ19" i="3"/>
  <c r="BH19" i="3"/>
  <c r="EE19" i="3"/>
  <c r="BM19" i="3"/>
  <c r="DW19" i="3"/>
  <c r="CZ19" i="3"/>
  <c r="DA19" i="3"/>
  <c r="EN19" i="3"/>
  <c r="DC19" i="3"/>
  <c r="DX19" i="3"/>
  <c r="CO19" i="3"/>
  <c r="EG19" i="3"/>
  <c r="DE13" i="3"/>
  <c r="DA13" i="3"/>
  <c r="BY13" i="3"/>
  <c r="AX38" i="3"/>
  <c r="BM33" i="3"/>
  <c r="DX37" i="3"/>
  <c r="DV26" i="3"/>
  <c r="EC36" i="3"/>
  <c r="CR21" i="3"/>
  <c r="BE19" i="3"/>
  <c r="BU19" i="3"/>
  <c r="DI19" i="3"/>
  <c r="CC13" i="3"/>
  <c r="AF46" i="3"/>
  <c r="AI46" i="3"/>
  <c r="AH46" i="3"/>
  <c r="AE46" i="3"/>
  <c r="AB40" i="3"/>
  <c r="AD40" i="3"/>
  <c r="AA40" i="3"/>
  <c r="BK28" i="3"/>
  <c r="BM22" i="3"/>
  <c r="K38" i="4"/>
  <c r="BL37" i="3"/>
  <c r="EF19" i="3"/>
  <c r="DY19" i="3"/>
  <c r="BQ19" i="3"/>
  <c r="DN19" i="3"/>
  <c r="EH19" i="3"/>
  <c r="BF19" i="3"/>
  <c r="BG17" i="3"/>
  <c r="CV17" i="3"/>
  <c r="BX17" i="3"/>
  <c r="EJ17" i="3"/>
  <c r="DK17" i="3"/>
  <c r="CW13" i="3"/>
  <c r="EK13" i="3"/>
  <c r="DL13" i="3"/>
  <c r="AW13" i="3"/>
  <c r="EE13" i="3"/>
  <c r="AV13" i="3"/>
  <c r="DZ11" i="3"/>
  <c r="EJ19" i="3"/>
  <c r="EL38" i="3"/>
  <c r="CS38" i="3"/>
  <c r="CJ38" i="3"/>
  <c r="BK22" i="3"/>
  <c r="AL37" i="3"/>
  <c r="CH26" i="3"/>
  <c r="AR26" i="3"/>
  <c r="BN26" i="3"/>
  <c r="U10" i="3"/>
  <c r="T10" i="3"/>
  <c r="C8" i="5"/>
  <c r="C7" i="5"/>
  <c r="CQ39" i="3" l="1"/>
  <c r="CH14" i="3"/>
  <c r="W14" i="3"/>
  <c r="BR29" i="3"/>
  <c r="BV29" i="3"/>
  <c r="DA44" i="3"/>
  <c r="EH29" i="3"/>
  <c r="DN39" i="3"/>
  <c r="CP39" i="3"/>
  <c r="AN29" i="3"/>
  <c r="CG29" i="3"/>
  <c r="EJ37" i="3"/>
  <c r="AX44" i="3"/>
  <c r="EA26" i="3"/>
  <c r="AV26" i="3"/>
  <c r="EF26" i="3"/>
  <c r="BM26" i="3"/>
  <c r="DQ26" i="3"/>
  <c r="CJ39" i="3"/>
  <c r="DU39" i="3"/>
  <c r="BX46" i="3"/>
  <c r="W46" i="3"/>
  <c r="D29" i="4" s="1"/>
  <c r="EB29" i="3"/>
  <c r="CJ40" i="3"/>
  <c r="W40" i="3"/>
  <c r="CC39" i="3"/>
  <c r="DW39" i="3"/>
  <c r="BO26" i="3"/>
  <c r="AY26" i="3"/>
  <c r="BG28" i="3"/>
  <c r="CW37" i="3"/>
  <c r="EL26" i="3"/>
  <c r="BA26" i="3"/>
  <c r="BI26" i="3"/>
  <c r="AG37" i="3"/>
  <c r="AV39" i="3"/>
  <c r="W39" i="3"/>
  <c r="BP29" i="3"/>
  <c r="BD44" i="3"/>
  <c r="DY32" i="3"/>
  <c r="W32" i="3"/>
  <c r="J29" i="4" s="1"/>
  <c r="CR26" i="3"/>
  <c r="CA26" i="3"/>
  <c r="CN26" i="3"/>
  <c r="CR37" i="3"/>
  <c r="BD15" i="3"/>
  <c r="EE26" i="3"/>
  <c r="BW26" i="3"/>
  <c r="DA26" i="3"/>
  <c r="DF37" i="3"/>
  <c r="BW28" i="3"/>
  <c r="BG39" i="3"/>
  <c r="BF37" i="3"/>
  <c r="AW26" i="3"/>
  <c r="BZ26" i="3"/>
  <c r="BZ15" i="3"/>
  <c r="AS26" i="3"/>
  <c r="CC26" i="3"/>
  <c r="EN26" i="3"/>
  <c r="EC26" i="3"/>
  <c r="AZ26" i="3"/>
  <c r="DO26" i="3"/>
  <c r="CX26" i="3"/>
  <c r="EA38" i="3"/>
  <c r="DP37" i="3"/>
  <c r="DA11" i="3"/>
  <c r="X10" i="3"/>
  <c r="W10" i="3" s="1"/>
  <c r="G29" i="4" s="1"/>
  <c r="G28" i="4"/>
  <c r="H28" i="4"/>
  <c r="H31" i="4" s="1"/>
  <c r="I28" i="4"/>
  <c r="I31" i="4" s="1"/>
  <c r="J28" i="4"/>
  <c r="K28" i="4"/>
  <c r="K31" i="4" s="1"/>
  <c r="H29" i="4"/>
  <c r="I29" i="4"/>
  <c r="K29" i="4"/>
  <c r="L28" i="4"/>
  <c r="L29" i="4"/>
  <c r="M28" i="4"/>
  <c r="N28" i="4"/>
  <c r="D28" i="4"/>
  <c r="M29" i="4"/>
  <c r="M31" i="4" s="1"/>
  <c r="N29" i="4"/>
  <c r="E28" i="4"/>
  <c r="E31" i="4" s="1"/>
  <c r="F28" i="4"/>
  <c r="CZ39" i="3"/>
  <c r="EH39" i="3"/>
  <c r="DI29" i="3"/>
  <c r="CN29" i="3"/>
  <c r="EJ39" i="3"/>
  <c r="BB30" i="3"/>
  <c r="W30" i="3"/>
  <c r="F29" i="4" s="1"/>
  <c r="BO22" i="3"/>
  <c r="W22" i="3"/>
  <c r="BU26" i="3"/>
  <c r="AR28" i="3"/>
  <c r="BL26" i="3"/>
  <c r="DL39" i="3"/>
  <c r="CE45" i="3"/>
  <c r="BM28" i="3"/>
  <c r="BI37" i="3"/>
  <c r="EJ28" i="3"/>
  <c r="BV26" i="3"/>
  <c r="AY39" i="3"/>
  <c r="BT26" i="3"/>
  <c r="CS26" i="3"/>
  <c r="DY26" i="3"/>
  <c r="DP26" i="3"/>
  <c r="AS33" i="3"/>
  <c r="DW26" i="3"/>
  <c r="AK38" i="3"/>
  <c r="AC28" i="3"/>
  <c r="BQ37" i="3"/>
  <c r="EK16" i="3"/>
  <c r="W16" i="3"/>
  <c r="E29" i="4" s="1"/>
  <c r="CN22" i="3"/>
  <c r="EN33" i="3"/>
  <c r="EK15" i="3"/>
  <c r="EJ15" i="3"/>
  <c r="BR15" i="3"/>
  <c r="CU15" i="3"/>
  <c r="EN15" i="3"/>
  <c r="CY21" i="3"/>
  <c r="Z33" i="3"/>
  <c r="DM15" i="3"/>
  <c r="EB21" i="3"/>
  <c r="BI25" i="3"/>
  <c r="EN22" i="3"/>
  <c r="AC33" i="3"/>
  <c r="BA15" i="3"/>
  <c r="DX21" i="3"/>
  <c r="AZ15" i="3"/>
  <c r="CH21" i="3"/>
  <c r="AO33" i="3"/>
  <c r="DA15" i="3"/>
  <c r="BM21" i="3"/>
  <c r="DE15" i="3"/>
  <c r="CE39" i="3"/>
  <c r="DU25" i="3"/>
  <c r="CJ29" i="3"/>
  <c r="CP15" i="3"/>
  <c r="BN21" i="3"/>
  <c r="EI21" i="3"/>
  <c r="DW15" i="3"/>
  <c r="DD21" i="3"/>
  <c r="AB33" i="3"/>
  <c r="DO21" i="3"/>
  <c r="AR15" i="3"/>
  <c r="DY15" i="3"/>
  <c r="CZ15" i="3"/>
  <c r="DD15" i="3"/>
  <c r="DE21" i="3"/>
  <c r="AQ15" i="3"/>
  <c r="CA15" i="3"/>
  <c r="AX15" i="3"/>
  <c r="AF33" i="3"/>
  <c r="EL15" i="3"/>
  <c r="EG21" i="3"/>
  <c r="AU15" i="3"/>
  <c r="BH15" i="3"/>
  <c r="CN21" i="3"/>
  <c r="DA33" i="3"/>
  <c r="DC22" i="3"/>
  <c r="BU15" i="3"/>
  <c r="EM21" i="3"/>
  <c r="DR21" i="3"/>
  <c r="CF15" i="3"/>
  <c r="EN21" i="3"/>
  <c r="BF15" i="3"/>
  <c r="DC15" i="3"/>
  <c r="DA21" i="3"/>
  <c r="CL33" i="3"/>
  <c r="AP15" i="3"/>
  <c r="EM29" i="3"/>
  <c r="DB29" i="3"/>
  <c r="CF21" i="3"/>
  <c r="DF21" i="3"/>
  <c r="AA29" i="3"/>
  <c r="BX30" i="3"/>
  <c r="CC15" i="3"/>
  <c r="BJ15" i="3"/>
  <c r="DG21" i="3"/>
  <c r="AR33" i="3"/>
  <c r="Z38" i="3"/>
  <c r="EH15" i="3"/>
  <c r="EE21" i="3"/>
  <c r="DN22" i="3"/>
  <c r="EA21" i="3"/>
  <c r="AT15" i="3"/>
  <c r="EF21" i="3"/>
  <c r="DZ21" i="3"/>
  <c r="AA33" i="3"/>
  <c r="BU22" i="3"/>
  <c r="DR15" i="3"/>
  <c r="BI15" i="3"/>
  <c r="BE15" i="3"/>
  <c r="BW30" i="3"/>
  <c r="DT15" i="3"/>
  <c r="DV29" i="3"/>
  <c r="DV15" i="3"/>
  <c r="CG21" i="3"/>
  <c r="BX21" i="3"/>
  <c r="BO33" i="3"/>
  <c r="CV21" i="3"/>
  <c r="BG15" i="3"/>
  <c r="AN38" i="3"/>
  <c r="DI37" i="3"/>
  <c r="DY11" i="3"/>
  <c r="EB15" i="3"/>
  <c r="EG15" i="3"/>
  <c r="DG15" i="3"/>
  <c r="BP21" i="3"/>
  <c r="CE12" i="3"/>
  <c r="BP12" i="3"/>
  <c r="CK45" i="3"/>
  <c r="DS45" i="3"/>
  <c r="CU45" i="3"/>
  <c r="CL45" i="3"/>
  <c r="CJ45" i="3"/>
  <c r="AP37" i="3"/>
  <c r="CQ30" i="3"/>
  <c r="AV37" i="3"/>
  <c r="DZ37" i="3"/>
  <c r="AC38" i="3"/>
  <c r="AM37" i="3"/>
  <c r="EF38" i="3"/>
  <c r="CZ38" i="3"/>
  <c r="EH38" i="3"/>
  <c r="DQ38" i="3"/>
  <c r="EJ45" i="3"/>
  <c r="DO38" i="3"/>
  <c r="BC25" i="3"/>
  <c r="DM25" i="3"/>
  <c r="DK21" i="3"/>
  <c r="CQ21" i="3"/>
  <c r="EL21" i="3"/>
  <c r="DM21" i="3"/>
  <c r="BY21" i="3"/>
  <c r="CL21" i="3"/>
  <c r="BT21" i="3"/>
  <c r="ED21" i="3"/>
  <c r="BR21" i="3"/>
  <c r="DL21" i="3"/>
  <c r="CW21" i="3"/>
  <c r="DV21" i="3"/>
  <c r="CU21" i="3"/>
  <c r="CX21" i="3"/>
  <c r="BS21" i="3"/>
  <c r="DI21" i="3"/>
  <c r="CI21" i="3"/>
  <c r="DB21" i="3"/>
  <c r="BW21" i="3"/>
  <c r="EC21" i="3"/>
  <c r="EJ21" i="3"/>
  <c r="CB15" i="3"/>
  <c r="DS15" i="3"/>
  <c r="BP15" i="3"/>
  <c r="DK15" i="3"/>
  <c r="CS15" i="3"/>
  <c r="EA15" i="3"/>
  <c r="CY15" i="3"/>
  <c r="BO15" i="3"/>
  <c r="EE15" i="3"/>
  <c r="AV15" i="3"/>
  <c r="CD15" i="3"/>
  <c r="EF15" i="3"/>
  <c r="DP15" i="3"/>
  <c r="CX15" i="3"/>
  <c r="DQ15" i="3"/>
  <c r="CW15" i="3"/>
  <c r="CV15" i="3"/>
  <c r="AW15" i="3"/>
  <c r="CQ15" i="3"/>
  <c r="DZ15" i="3"/>
  <c r="DB15" i="3"/>
  <c r="DO15" i="3"/>
  <c r="CM15" i="3"/>
  <c r="BT15" i="3"/>
  <c r="BK15" i="3"/>
  <c r="BX15" i="3"/>
  <c r="AO15" i="3"/>
  <c r="EN38" i="3"/>
  <c r="DI15" i="3"/>
  <c r="CH30" i="3"/>
  <c r="CX12" i="3"/>
  <c r="CQ27" i="3"/>
  <c r="EF37" i="3"/>
  <c r="DR37" i="3"/>
  <c r="BH44" i="3"/>
  <c r="DU21" i="3"/>
  <c r="BC15" i="3"/>
  <c r="CO15" i="3"/>
  <c r="CI15" i="3"/>
  <c r="AE38" i="3"/>
  <c r="DF30" i="3"/>
  <c r="BL15" i="3"/>
  <c r="EI15" i="3"/>
  <c r="CJ15" i="3"/>
  <c r="CM21" i="3"/>
  <c r="BO21" i="3"/>
  <c r="BH38" i="3"/>
  <c r="CM38" i="3"/>
  <c r="BQ21" i="3"/>
  <c r="DJ45" i="3"/>
  <c r="Y37" i="3"/>
  <c r="CP38" i="3"/>
  <c r="CP21" i="3"/>
  <c r="DB45" i="3"/>
  <c r="BV15" i="3"/>
  <c r="DC21" i="3"/>
  <c r="EB38" i="3"/>
  <c r="BZ12" i="3"/>
  <c r="DV37" i="3"/>
  <c r="DO37" i="3"/>
  <c r="DS37" i="3"/>
  <c r="DD45" i="3"/>
  <c r="BX37" i="3"/>
  <c r="CN15" i="3"/>
  <c r="BZ21" i="3"/>
  <c r="DT21" i="3"/>
  <c r="CC21" i="3"/>
  <c r="CK15" i="3"/>
  <c r="DN15" i="3"/>
  <c r="DP21" i="3"/>
  <c r="CJ21" i="3"/>
  <c r="EC15" i="3"/>
  <c r="BY38" i="3"/>
  <c r="DN21" i="3"/>
  <c r="EK45" i="3"/>
  <c r="DL15" i="3"/>
  <c r="BJ42" i="3"/>
  <c r="EI42" i="3"/>
  <c r="CT27" i="3"/>
  <c r="DS12" i="3"/>
  <c r="CC12" i="3"/>
  <c r="DU12" i="3"/>
  <c r="EK12" i="3"/>
  <c r="CR12" i="3"/>
  <c r="EB12" i="3"/>
  <c r="DQ30" i="3"/>
  <c r="DR30" i="3"/>
  <c r="CE30" i="3"/>
  <c r="BI30" i="3"/>
  <c r="CD12" i="3"/>
  <c r="BU24" i="3"/>
  <c r="BX24" i="3"/>
  <c r="CU30" i="3"/>
  <c r="DT45" i="3"/>
  <c r="CO30" i="3"/>
  <c r="BL12" i="3"/>
  <c r="BQ30" i="3"/>
  <c r="BJ37" i="3"/>
  <c r="BO37" i="3"/>
  <c r="AJ37" i="3"/>
  <c r="Z37" i="3"/>
  <c r="BK37" i="3"/>
  <c r="CU37" i="3"/>
  <c r="AR37" i="3"/>
  <c r="DA37" i="3"/>
  <c r="BS37" i="3"/>
  <c r="CJ37" i="3"/>
  <c r="BM37" i="3"/>
  <c r="DY37" i="3"/>
  <c r="BR37" i="3"/>
  <c r="AQ37" i="3"/>
  <c r="EC37" i="3"/>
  <c r="CM37" i="3"/>
  <c r="BC37" i="3"/>
  <c r="DQ37" i="3"/>
  <c r="BP37" i="3"/>
  <c r="DB37" i="3"/>
  <c r="BN37" i="3"/>
  <c r="AA24" i="3"/>
  <c r="EL45" i="3"/>
  <c r="BP38" i="3"/>
  <c r="DL38" i="3"/>
  <c r="AL38" i="3"/>
  <c r="AG38" i="3"/>
  <c r="AR38" i="3"/>
  <c r="AU38" i="3"/>
  <c r="CE38" i="3"/>
  <c r="BB38" i="3"/>
  <c r="DN38" i="3"/>
  <c r="DR38" i="3"/>
  <c r="CD38" i="3"/>
  <c r="EM38" i="3"/>
  <c r="DP38" i="3"/>
  <c r="AM38" i="3"/>
  <c r="BD38" i="3"/>
  <c r="CI38" i="3"/>
  <c r="DW38" i="3"/>
  <c r="CU38" i="3"/>
  <c r="AV38" i="3"/>
  <c r="BU38" i="3"/>
  <c r="DB38" i="3"/>
  <c r="BM38" i="3"/>
  <c r="BN38" i="3"/>
  <c r="BG38" i="3"/>
  <c r="AS38" i="3"/>
  <c r="CY38" i="3"/>
  <c r="DL37" i="3"/>
  <c r="AE37" i="3"/>
  <c r="EK38" i="3"/>
  <c r="CK12" i="3"/>
  <c r="AT37" i="3"/>
  <c r="DG37" i="3"/>
  <c r="EE37" i="3"/>
  <c r="CL15" i="3"/>
  <c r="EI38" i="3"/>
  <c r="DX15" i="3"/>
  <c r="BB15" i="3"/>
  <c r="AL15" i="3"/>
  <c r="BV21" i="3"/>
  <c r="BU21" i="3"/>
  <c r="AW38" i="3"/>
  <c r="CC38" i="3"/>
  <c r="EM37" i="3"/>
  <c r="CG15" i="3"/>
  <c r="CE15" i="3"/>
  <c r="DD44" i="3"/>
  <c r="DK44" i="3"/>
  <c r="CT21" i="3"/>
  <c r="CR15" i="3"/>
  <c r="DB12" i="3"/>
  <c r="CO38" i="3"/>
  <c r="EH37" i="3"/>
  <c r="AY37" i="3"/>
  <c r="DC38" i="3"/>
  <c r="AW44" i="3"/>
  <c r="AM15" i="3"/>
  <c r="BA38" i="3"/>
  <c r="DJ21" i="3"/>
  <c r="ED15" i="3"/>
  <c r="BM15" i="3"/>
  <c r="BY15" i="3"/>
  <c r="DH15" i="3"/>
  <c r="DQ21" i="3"/>
  <c r="CK21" i="3"/>
  <c r="CB21" i="3"/>
  <c r="DW21" i="3"/>
  <c r="CQ38" i="3"/>
  <c r="BL38" i="3"/>
  <c r="AB38" i="3"/>
  <c r="AY15" i="3"/>
  <c r="BE37" i="3"/>
  <c r="DJ37" i="3"/>
  <c r="EA22" i="3"/>
  <c r="CP22" i="3"/>
  <c r="BQ26" i="3"/>
  <c r="CO26" i="3"/>
  <c r="CJ26" i="3"/>
  <c r="BJ26" i="3"/>
  <c r="DZ26" i="3"/>
  <c r="DT26" i="3"/>
  <c r="EG26" i="3"/>
  <c r="CK26" i="3"/>
  <c r="DD26" i="3"/>
  <c r="BP26" i="3"/>
  <c r="DJ11" i="3"/>
  <c r="CQ11" i="3"/>
  <c r="CK11" i="3"/>
  <c r="DC26" i="3"/>
  <c r="CJ11" i="3"/>
  <c r="EI26" i="3"/>
  <c r="CF26" i="3"/>
  <c r="CV26" i="3"/>
  <c r="EH26" i="3"/>
  <c r="BX26" i="3"/>
  <c r="AQ26" i="3"/>
  <c r="CQ26" i="3"/>
  <c r="CW11" i="3"/>
  <c r="AX26" i="3"/>
  <c r="DK11" i="3"/>
  <c r="DG11" i="3"/>
  <c r="DP11" i="3"/>
  <c r="CX28" i="3"/>
  <c r="DJ34" i="3"/>
  <c r="DK34" i="3"/>
  <c r="DN34" i="3"/>
  <c r="AV28" i="3"/>
  <c r="ED12" i="3"/>
  <c r="CA30" i="3"/>
  <c r="CP28" i="3"/>
  <c r="EH45" i="3"/>
  <c r="BI12" i="3"/>
  <c r="EK28" i="3"/>
  <c r="EH12" i="3"/>
  <c r="EJ12" i="3"/>
  <c r="BS12" i="3"/>
  <c r="DP27" i="3"/>
  <c r="BE30" i="3"/>
  <c r="BJ12" i="3"/>
  <c r="BF28" i="3"/>
  <c r="CC28" i="3"/>
  <c r="CI28" i="3"/>
  <c r="BI28" i="3"/>
  <c r="CH28" i="3"/>
  <c r="AB28" i="3"/>
  <c r="BT28" i="3"/>
  <c r="DX28" i="3"/>
  <c r="BL28" i="3"/>
  <c r="AJ28" i="3"/>
  <c r="CS28" i="3"/>
  <c r="CR28" i="3"/>
  <c r="EL28" i="3"/>
  <c r="AW28" i="3"/>
  <c r="BY28" i="3"/>
  <c r="DQ28" i="3"/>
  <c r="DV28" i="3"/>
  <c r="DF28" i="3"/>
  <c r="BE28" i="3"/>
  <c r="EI28" i="3"/>
  <c r="DN28" i="3"/>
  <c r="DC28" i="3"/>
  <c r="AZ28" i="3"/>
  <c r="DY28" i="3"/>
  <c r="CL28" i="3"/>
  <c r="BZ28" i="3"/>
  <c r="DP28" i="3"/>
  <c r="DR28" i="3"/>
  <c r="CQ28" i="3"/>
  <c r="AK28" i="3"/>
  <c r="EN28" i="3"/>
  <c r="DI28" i="3"/>
  <c r="BN28" i="3"/>
  <c r="DO28" i="3"/>
  <c r="DM28" i="3"/>
  <c r="DT28" i="3"/>
  <c r="DA28" i="3"/>
  <c r="CS43" i="3"/>
  <c r="CL43" i="3"/>
  <c r="DR12" i="3"/>
  <c r="CU28" i="3"/>
  <c r="CZ30" i="3"/>
  <c r="CX30" i="3"/>
  <c r="DU30" i="3"/>
  <c r="BR30" i="3"/>
  <c r="DI30" i="3"/>
  <c r="BS30" i="3"/>
  <c r="CL30" i="3"/>
  <c r="CC30" i="3"/>
  <c r="BH30" i="3"/>
  <c r="EG30" i="3"/>
  <c r="CS30" i="3"/>
  <c r="CG30" i="3"/>
  <c r="DX30" i="3"/>
  <c r="CM30" i="3"/>
  <c r="BM30" i="3"/>
  <c r="BZ30" i="3"/>
  <c r="DO30" i="3"/>
  <c r="CK30" i="3"/>
  <c r="EA30" i="3"/>
  <c r="ED30" i="3"/>
  <c r="EJ30" i="3"/>
  <c r="DL30" i="3"/>
  <c r="BD30" i="3"/>
  <c r="BT30" i="3"/>
  <c r="EC30" i="3"/>
  <c r="DW30" i="3"/>
  <c r="CR30" i="3"/>
  <c r="BJ30" i="3"/>
  <c r="DM30" i="3"/>
  <c r="CD30" i="3"/>
  <c r="DE30" i="3"/>
  <c r="DP30" i="3"/>
  <c r="BL30" i="3"/>
  <c r="DV30" i="3"/>
  <c r="DK30" i="3"/>
  <c r="CI30" i="3"/>
  <c r="BF30" i="3"/>
  <c r="EE30" i="3"/>
  <c r="BU30" i="3"/>
  <c r="BK30" i="3"/>
  <c r="EM30" i="3"/>
  <c r="DC30" i="3"/>
  <c r="BO30" i="3"/>
  <c r="DX40" i="3"/>
  <c r="EF12" i="3"/>
  <c r="CY45" i="3"/>
  <c r="CW45" i="3"/>
  <c r="CM45" i="3"/>
  <c r="DI45" i="3"/>
  <c r="EN45" i="3"/>
  <c r="EA45" i="3"/>
  <c r="EM45" i="3"/>
  <c r="DH45" i="3"/>
  <c r="CX45" i="3"/>
  <c r="DG45" i="3"/>
  <c r="DL45" i="3"/>
  <c r="DQ45" i="3"/>
  <c r="DF45" i="3"/>
  <c r="DZ45" i="3"/>
  <c r="CP45" i="3"/>
  <c r="CZ45" i="3"/>
  <c r="CF45" i="3"/>
  <c r="CQ45" i="3"/>
  <c r="CN45" i="3"/>
  <c r="DP45" i="3"/>
  <c r="DR45" i="3"/>
  <c r="DW45" i="3"/>
  <c r="EB45" i="3"/>
  <c r="EE45" i="3"/>
  <c r="CI45" i="3"/>
  <c r="EG45" i="3"/>
  <c r="DU45" i="3"/>
  <c r="CS45" i="3"/>
  <c r="CM28" i="3"/>
  <c r="DN12" i="3"/>
  <c r="DV45" i="3"/>
  <c r="CB30" i="3"/>
  <c r="CB12" i="3"/>
  <c r="DD30" i="3"/>
  <c r="CH45" i="3"/>
  <c r="BN12" i="3"/>
  <c r="EN12" i="3"/>
  <c r="BJ28" i="3"/>
  <c r="DQ12" i="3"/>
  <c r="BG12" i="3"/>
  <c r="DG28" i="3"/>
  <c r="AD28" i="3"/>
  <c r="DZ30" i="3"/>
  <c r="EF30" i="3"/>
  <c r="CA12" i="3"/>
  <c r="CP30" i="3"/>
  <c r="BR14" i="3"/>
  <c r="DL28" i="3"/>
  <c r="DJ28" i="3"/>
  <c r="CJ12" i="3"/>
  <c r="EI45" i="3"/>
  <c r="BL36" i="3"/>
  <c r="BV36" i="3"/>
  <c r="BC36" i="3"/>
  <c r="EB36" i="3"/>
  <c r="DK45" i="3"/>
  <c r="EI30" i="3"/>
  <c r="CM43" i="3"/>
  <c r="CT28" i="3"/>
  <c r="CO12" i="3"/>
  <c r="CH27" i="3"/>
  <c r="EH28" i="3"/>
  <c r="CN30" i="3"/>
  <c r="EN30" i="3"/>
  <c r="CT30" i="3"/>
  <c r="BV12" i="3"/>
  <c r="CT45" i="3"/>
  <c r="DN45" i="3"/>
  <c r="CG45" i="3"/>
  <c r="EE28" i="3"/>
  <c r="EG12" i="3"/>
  <c r="DH12" i="3"/>
  <c r="CL12" i="3"/>
  <c r="CN12" i="3"/>
  <c r="DM12" i="3"/>
  <c r="DF12" i="3"/>
  <c r="BD12" i="3"/>
  <c r="CI12" i="3"/>
  <c r="BQ12" i="3"/>
  <c r="EC12" i="3"/>
  <c r="DW12" i="3"/>
  <c r="EE12" i="3"/>
  <c r="BK12" i="3"/>
  <c r="CP12" i="3"/>
  <c r="DI12" i="3"/>
  <c r="CV12" i="3"/>
  <c r="CS12" i="3"/>
  <c r="CH12" i="3"/>
  <c r="BT12" i="3"/>
  <c r="BO12" i="3"/>
  <c r="DJ12" i="3"/>
  <c r="BE12" i="3"/>
  <c r="DL12" i="3"/>
  <c r="BX12" i="3"/>
  <c r="BF12" i="3"/>
  <c r="CM12" i="3"/>
  <c r="EI12" i="3"/>
  <c r="EA12" i="3"/>
  <c r="DY12" i="3"/>
  <c r="DZ12" i="3"/>
  <c r="CT12" i="3"/>
  <c r="DE12" i="3"/>
  <c r="CW12" i="3"/>
  <c r="DA12" i="3"/>
  <c r="CF12" i="3"/>
  <c r="DT12" i="3"/>
  <c r="BU12" i="3"/>
  <c r="CQ12" i="3"/>
  <c r="CU12" i="3"/>
  <c r="DC12" i="3"/>
  <c r="EM12" i="3"/>
  <c r="BU28" i="3"/>
  <c r="BV28" i="3"/>
  <c r="BY12" i="3"/>
  <c r="AY28" i="3"/>
  <c r="DE45" i="3"/>
  <c r="BG30" i="3"/>
  <c r="DC24" i="3"/>
  <c r="CU24" i="3"/>
  <c r="BP24" i="3"/>
  <c r="AJ24" i="3"/>
  <c r="CJ24" i="3"/>
  <c r="CL24" i="3"/>
  <c r="DI24" i="3"/>
  <c r="AN28" i="3"/>
  <c r="DG12" i="3"/>
  <c r="DN30" i="3"/>
  <c r="CY30" i="3"/>
  <c r="BH28" i="3"/>
  <c r="CG12" i="3"/>
  <c r="DC45" i="3"/>
  <c r="DO45" i="3"/>
  <c r="BA28" i="3"/>
  <c r="AG28" i="3"/>
  <c r="DX12" i="3"/>
  <c r="BH12" i="3"/>
  <c r="DS28" i="3"/>
  <c r="DX45" i="3"/>
  <c r="EF45" i="3"/>
  <c r="EB30" i="3"/>
  <c r="DT30" i="3"/>
  <c r="CV45" i="3"/>
  <c r="DM45" i="3"/>
  <c r="EC34" i="3"/>
  <c r="CO45" i="3"/>
  <c r="AL40" i="3"/>
  <c r="AN40" i="3"/>
  <c r="DF40" i="3"/>
  <c r="EH40" i="3"/>
  <c r="CK28" i="3"/>
  <c r="EA28" i="3"/>
  <c r="DM27" i="3"/>
  <c r="CM27" i="3"/>
  <c r="DL27" i="3"/>
  <c r="DH27" i="3"/>
  <c r="EK30" i="3"/>
  <c r="EL12" i="3"/>
  <c r="ED28" i="3"/>
  <c r="BR28" i="3"/>
  <c r="BR12" i="3"/>
  <c r="DD12" i="3"/>
  <c r="EG14" i="3"/>
  <c r="EC45" i="3"/>
  <c r="DV24" i="3"/>
  <c r="CW30" i="3"/>
  <c r="BY30" i="3"/>
  <c r="DG30" i="3"/>
  <c r="AL28" i="3"/>
  <c r="CR45" i="3"/>
  <c r="DY45" i="3"/>
  <c r="DB30" i="3"/>
  <c r="DE37" i="3"/>
  <c r="EA37" i="3"/>
  <c r="BD37" i="3"/>
  <c r="DH37" i="3"/>
  <c r="CA37" i="3"/>
  <c r="CS37" i="3"/>
  <c r="BV37" i="3"/>
  <c r="EK37" i="3"/>
  <c r="AF37" i="3"/>
  <c r="DA38" i="3"/>
  <c r="AO38" i="3"/>
  <c r="BR38" i="3"/>
  <c r="AJ38" i="3"/>
  <c r="DZ38" i="3"/>
  <c r="DT22" i="3"/>
  <c r="CI37" i="3"/>
  <c r="CY37" i="3"/>
  <c r="ED37" i="3"/>
  <c r="AA37" i="3"/>
  <c r="CD37" i="3"/>
  <c r="CB37" i="3"/>
  <c r="CP37" i="3"/>
  <c r="CT38" i="3"/>
  <c r="DI38" i="3"/>
  <c r="AI37" i="3"/>
  <c r="BO38" i="3"/>
  <c r="DJ38" i="3"/>
  <c r="DK38" i="3"/>
  <c r="CW38" i="3"/>
  <c r="BZ38" i="3"/>
  <c r="AJ29" i="3"/>
  <c r="CZ37" i="3"/>
  <c r="CL37" i="3"/>
  <c r="CT22" i="3"/>
  <c r="BW37" i="3"/>
  <c r="AU37" i="3"/>
  <c r="EG37" i="3"/>
  <c r="AS37" i="3"/>
  <c r="DU37" i="3"/>
  <c r="BY37" i="3"/>
  <c r="CO37" i="3"/>
  <c r="DS22" i="3"/>
  <c r="DK37" i="3"/>
  <c r="DT37" i="3"/>
  <c r="DW37" i="3"/>
  <c r="AX37" i="3"/>
  <c r="CT37" i="3"/>
  <c r="CX38" i="3"/>
  <c r="AQ38" i="3"/>
  <c r="DD39" i="3"/>
  <c r="CV37" i="3"/>
  <c r="BS38" i="3"/>
  <c r="Y38" i="3"/>
  <c r="BC38" i="3"/>
  <c r="AT38" i="3"/>
  <c r="EE38" i="3"/>
  <c r="BK38" i="3"/>
  <c r="DN37" i="3"/>
  <c r="DX38" i="3"/>
  <c r="BX38" i="3"/>
  <c r="CE37" i="3"/>
  <c r="CF37" i="3"/>
  <c r="CK37" i="3"/>
  <c r="BZ37" i="3"/>
  <c r="CW22" i="3"/>
  <c r="BU37" i="3"/>
  <c r="DC37" i="3"/>
  <c r="CN37" i="3"/>
  <c r="AW37" i="3"/>
  <c r="BG37" i="3"/>
  <c r="CJ22" i="3"/>
  <c r="BW38" i="3"/>
  <c r="DU38" i="3"/>
  <c r="CG38" i="3"/>
  <c r="AD38" i="3"/>
  <c r="BJ38" i="3"/>
  <c r="AO37" i="3"/>
  <c r="EL37" i="3"/>
  <c r="AW36" i="3"/>
  <c r="DH29" i="3"/>
  <c r="DC29" i="3"/>
  <c r="AQ29" i="3"/>
  <c r="BL40" i="3"/>
  <c r="BB40" i="3"/>
  <c r="DE36" i="3"/>
  <c r="EJ29" i="3"/>
  <c r="CQ40" i="3"/>
  <c r="EA29" i="3"/>
  <c r="AD29" i="3"/>
  <c r="DM36" i="3"/>
  <c r="BI29" i="3"/>
  <c r="DX36" i="3"/>
  <c r="BJ29" i="3"/>
  <c r="CY29" i="3"/>
  <c r="DT29" i="3"/>
  <c r="DK28" i="3"/>
  <c r="DE29" i="3"/>
  <c r="AQ28" i="3"/>
  <c r="AI28" i="3"/>
  <c r="CG28" i="3"/>
  <c r="DH28" i="3"/>
  <c r="CZ40" i="3"/>
  <c r="AU40" i="3"/>
  <c r="CT40" i="3"/>
  <c r="CV46" i="3"/>
  <c r="DB36" i="3"/>
  <c r="AD36" i="3"/>
  <c r="CR14" i="3"/>
  <c r="CO29" i="3"/>
  <c r="CW28" i="3"/>
  <c r="CY28" i="3"/>
  <c r="BM29" i="3"/>
  <c r="EN29" i="3"/>
  <c r="BL29" i="3"/>
  <c r="CV29" i="3"/>
  <c r="CZ29" i="3"/>
  <c r="CJ43" i="3"/>
  <c r="BS25" i="3"/>
  <c r="AT28" i="3"/>
  <c r="DB28" i="3"/>
  <c r="CV28" i="3"/>
  <c r="BX28" i="3"/>
  <c r="EL29" i="3"/>
  <c r="AC29" i="3"/>
  <c r="EE29" i="3"/>
  <c r="BV30" i="3"/>
  <c r="DY36" i="3"/>
  <c r="CX29" i="3"/>
  <c r="CE29" i="3"/>
  <c r="DM29" i="3"/>
  <c r="CA14" i="3"/>
  <c r="BO29" i="3"/>
  <c r="DO36" i="3"/>
  <c r="DU29" i="3"/>
  <c r="CG40" i="3"/>
  <c r="CO36" i="3"/>
  <c r="DF14" i="3"/>
  <c r="AW40" i="3"/>
  <c r="EI29" i="3"/>
  <c r="BS29" i="3"/>
  <c r="DH40" i="3"/>
  <c r="DY29" i="3"/>
  <c r="AR40" i="3"/>
  <c r="BW40" i="3"/>
  <c r="EL40" i="3"/>
  <c r="DH36" i="3"/>
  <c r="DW36" i="3"/>
  <c r="BV14" i="3"/>
  <c r="EH25" i="3"/>
  <c r="DD40" i="3"/>
  <c r="EL14" i="3"/>
  <c r="DW28" i="3"/>
  <c r="DF29" i="3"/>
  <c r="EF29" i="3"/>
  <c r="BK29" i="3"/>
  <c r="CC29" i="3"/>
  <c r="CU25" i="3"/>
  <c r="AR29" i="3"/>
  <c r="CW29" i="3"/>
  <c r="AK29" i="3"/>
  <c r="CQ29" i="3"/>
  <c r="BC29" i="3"/>
  <c r="BF29" i="3"/>
  <c r="CV14" i="3"/>
  <c r="AV29" i="3"/>
  <c r="AS29" i="3"/>
  <c r="DS29" i="3"/>
  <c r="AY29" i="3"/>
  <c r="BX40" i="3"/>
  <c r="DZ40" i="3"/>
  <c r="AJ40" i="3"/>
  <c r="DJ36" i="3"/>
  <c r="AK36" i="3"/>
  <c r="CT14" i="3"/>
  <c r="CZ25" i="3"/>
  <c r="DD28" i="3"/>
  <c r="DB14" i="3"/>
  <c r="EM28" i="3"/>
  <c r="AX28" i="3"/>
  <c r="CA29" i="3"/>
  <c r="DN29" i="3"/>
  <c r="CM29" i="3"/>
  <c r="DQ29" i="3"/>
  <c r="CB29" i="3"/>
  <c r="DF25" i="3"/>
  <c r="CI29" i="3"/>
  <c r="CJ30" i="3"/>
  <c r="Z29" i="3"/>
  <c r="AQ40" i="3"/>
  <c r="CR29" i="3"/>
  <c r="CU29" i="3"/>
  <c r="EH30" i="3"/>
  <c r="BU29" i="3"/>
  <c r="DA30" i="3"/>
  <c r="DK12" i="3"/>
  <c r="BC30" i="3"/>
  <c r="AE40" i="3"/>
  <c r="AP36" i="3"/>
  <c r="AO29" i="3"/>
  <c r="BC40" i="3"/>
  <c r="DW29" i="3"/>
  <c r="AF29" i="3"/>
  <c r="DD29" i="3"/>
  <c r="EG25" i="3"/>
  <c r="BE29" i="3"/>
  <c r="BW36" i="3"/>
  <c r="EG36" i="3"/>
  <c r="BG29" i="3"/>
  <c r="AV36" i="3"/>
  <c r="ED29" i="3"/>
  <c r="AP29" i="3"/>
  <c r="CT29" i="3"/>
  <c r="BO25" i="3"/>
  <c r="DZ28" i="3"/>
  <c r="DO29" i="3"/>
  <c r="CS29" i="3"/>
  <c r="AE28" i="3"/>
  <c r="CF36" i="3"/>
  <c r="CR36" i="3"/>
  <c r="DO14" i="3"/>
  <c r="AM28" i="3"/>
  <c r="CZ28" i="3"/>
  <c r="AL29" i="3"/>
  <c r="BA40" i="3"/>
  <c r="EF40" i="3"/>
  <c r="BA29" i="3"/>
  <c r="DG29" i="3"/>
  <c r="DZ29" i="3"/>
  <c r="EC29" i="3"/>
  <c r="DX29" i="3"/>
  <c r="CH29" i="3"/>
  <c r="DP25" i="3"/>
  <c r="BT25" i="3"/>
  <c r="AS40" i="3"/>
  <c r="DC40" i="3"/>
  <c r="Y29" i="3"/>
  <c r="EK29" i="3"/>
  <c r="BZ29" i="3"/>
  <c r="BZ40" i="3"/>
  <c r="CF40" i="3"/>
  <c r="AB29" i="3"/>
  <c r="BQ29" i="3"/>
  <c r="BN40" i="3"/>
  <c r="EI14" i="3"/>
  <c r="EJ14" i="3"/>
  <c r="BH29" i="3"/>
  <c r="DK29" i="3"/>
  <c r="DU40" i="3"/>
  <c r="DU14" i="3"/>
  <c r="BW29" i="3"/>
  <c r="AI29" i="3"/>
  <c r="DK14" i="3"/>
  <c r="AH28" i="3"/>
  <c r="DZ36" i="3"/>
  <c r="DJ29" i="3"/>
  <c r="CJ28" i="3"/>
  <c r="BS28" i="3"/>
  <c r="CB40" i="3"/>
  <c r="DI14" i="3"/>
  <c r="BC28" i="3"/>
  <c r="DP16" i="3"/>
  <c r="CB28" i="3"/>
  <c r="DA40" i="3"/>
  <c r="BY36" i="3"/>
  <c r="CC14" i="3"/>
  <c r="EF28" i="3"/>
  <c r="EG28" i="3"/>
  <c r="DP29" i="3"/>
  <c r="CT25" i="3"/>
  <c r="AU28" i="3"/>
  <c r="CF29" i="3"/>
  <c r="CC25" i="3"/>
  <c r="AS28" i="3"/>
  <c r="BV40" i="3"/>
  <c r="DJ30" i="3"/>
  <c r="BN30" i="3"/>
  <c r="CD29" i="3"/>
  <c r="BB29" i="3"/>
  <c r="EC28" i="3"/>
  <c r="CY12" i="3"/>
  <c r="DV12" i="3"/>
  <c r="DM37" i="3"/>
  <c r="DR29" i="3"/>
  <c r="DL29" i="3"/>
  <c r="DS40" i="3"/>
  <c r="BH36" i="3"/>
  <c r="DI36" i="3"/>
  <c r="AA36" i="3"/>
  <c r="BT29" i="3"/>
  <c r="AX29" i="3"/>
  <c r="AT29" i="3"/>
  <c r="AW29" i="3"/>
  <c r="AU29" i="3"/>
  <c r="DV40" i="3"/>
  <c r="CY25" i="3"/>
  <c r="AH29" i="3"/>
  <c r="CO28" i="3"/>
  <c r="BD28" i="3"/>
  <c r="EN40" i="3"/>
  <c r="CP40" i="3"/>
  <c r="BZ36" i="3"/>
  <c r="CD28" i="3"/>
  <c r="DE28" i="3"/>
  <c r="AO28" i="3"/>
  <c r="BO28" i="3"/>
  <c r="EA40" i="3"/>
  <c r="BO40" i="3"/>
  <c r="CP14" i="3"/>
  <c r="BY29" i="3"/>
  <c r="CP29" i="3"/>
  <c r="BX29" i="3"/>
  <c r="AZ29" i="3"/>
  <c r="DA29" i="3"/>
  <c r="AZ16" i="3"/>
  <c r="CN28" i="3"/>
  <c r="CF28" i="3"/>
  <c r="CE28" i="3"/>
  <c r="BQ28" i="3"/>
  <c r="AG40" i="3"/>
  <c r="BJ40" i="3"/>
  <c r="DL40" i="3"/>
  <c r="BI36" i="3"/>
  <c r="DU28" i="3"/>
  <c r="DM14" i="3"/>
  <c r="CU14" i="3"/>
  <c r="AF28" i="3"/>
  <c r="BB28" i="3"/>
  <c r="EG24" i="3"/>
  <c r="CL29" i="3"/>
  <c r="AE29" i="3"/>
  <c r="AG29" i="3"/>
  <c r="BN29" i="3"/>
  <c r="CV30" i="3"/>
  <c r="DS30" i="3"/>
  <c r="EL30" i="3"/>
  <c r="DY30" i="3"/>
  <c r="DH30" i="3"/>
  <c r="CN43" i="3"/>
  <c r="BP28" i="3"/>
  <c r="DO33" i="3"/>
  <c r="BP30" i="3"/>
  <c r="AP28" i="3"/>
  <c r="CK29" i="3"/>
  <c r="EB28" i="3"/>
  <c r="CL38" i="3"/>
  <c r="AZ38" i="3"/>
  <c r="EJ38" i="3"/>
  <c r="CH38" i="3"/>
  <c r="BI38" i="3"/>
  <c r="ED45" i="3"/>
  <c r="DA45" i="3"/>
  <c r="EN34" i="3"/>
  <c r="CZ12" i="3"/>
  <c r="CF30" i="3"/>
  <c r="AM29" i="3"/>
  <c r="BW12" i="3"/>
  <c r="DO12" i="3"/>
  <c r="DP12" i="3"/>
  <c r="CE24" i="3"/>
  <c r="EJ24" i="3"/>
  <c r="CH24" i="3"/>
  <c r="EH24" i="3"/>
  <c r="BI24" i="3"/>
  <c r="BE24" i="3"/>
  <c r="AN24" i="3"/>
  <c r="DA22" i="3"/>
  <c r="DS25" i="3"/>
  <c r="CQ22" i="3"/>
  <c r="CR22" i="3"/>
  <c r="CI25" i="3"/>
  <c r="BM44" i="3"/>
  <c r="CF44" i="3"/>
  <c r="BK24" i="3"/>
  <c r="DG24" i="3"/>
  <c r="AW24" i="3"/>
  <c r="CP24" i="3"/>
  <c r="DE24" i="3"/>
  <c r="DS24" i="3"/>
  <c r="BH24" i="3"/>
  <c r="CU22" i="3"/>
  <c r="BC24" i="3"/>
  <c r="AX25" i="3"/>
  <c r="CQ25" i="3"/>
  <c r="CA25" i="3"/>
  <c r="DE43" i="3"/>
  <c r="CK22" i="3"/>
  <c r="CK34" i="3"/>
  <c r="ED34" i="3"/>
  <c r="CQ24" i="3"/>
  <c r="CV43" i="3"/>
  <c r="AL24" i="3"/>
  <c r="CB22" i="3"/>
  <c r="DI22" i="3"/>
  <c r="BX25" i="3"/>
  <c r="CH44" i="3"/>
  <c r="BK44" i="3"/>
  <c r="AR24" i="3"/>
  <c r="AU24" i="3"/>
  <c r="CN24" i="3"/>
  <c r="BL24" i="3"/>
  <c r="BN24" i="3"/>
  <c r="DN24" i="3"/>
  <c r="BJ24" i="3"/>
  <c r="DL24" i="3"/>
  <c r="BV25" i="3"/>
  <c r="EM25" i="3"/>
  <c r="DT43" i="3"/>
  <c r="EN43" i="3"/>
  <c r="EJ34" i="3"/>
  <c r="CZ21" i="3"/>
  <c r="AF24" i="3"/>
  <c r="CH37" i="3"/>
  <c r="BT37" i="3"/>
  <c r="EK21" i="3"/>
  <c r="AP24" i="3"/>
  <c r="EI24" i="3"/>
  <c r="AM24" i="3"/>
  <c r="CO24" i="3"/>
  <c r="AD24" i="3"/>
  <c r="DW24" i="3"/>
  <c r="AG24" i="3"/>
  <c r="DS43" i="3"/>
  <c r="EH22" i="3"/>
  <c r="BY22" i="3"/>
  <c r="EM22" i="3"/>
  <c r="CE44" i="3"/>
  <c r="CW44" i="3"/>
  <c r="DQ24" i="3"/>
  <c r="AK24" i="3"/>
  <c r="BD24" i="3"/>
  <c r="CY24" i="3"/>
  <c r="DO25" i="3"/>
  <c r="EN25" i="3"/>
  <c r="EC25" i="3"/>
  <c r="DO43" i="3"/>
  <c r="EA24" i="3"/>
  <c r="DJ43" i="3"/>
  <c r="EE25" i="3"/>
  <c r="BS22" i="3"/>
  <c r="DO44" i="3"/>
  <c r="BX34" i="3"/>
  <c r="DF24" i="3"/>
  <c r="CB24" i="3"/>
  <c r="AC24" i="3"/>
  <c r="AI24" i="3"/>
  <c r="DM24" i="3"/>
  <c r="EN44" i="3"/>
  <c r="BF44" i="3"/>
  <c r="DY24" i="3"/>
  <c r="DF44" i="3"/>
  <c r="DB24" i="3"/>
  <c r="EC24" i="3"/>
  <c r="BK25" i="3"/>
  <c r="DW43" i="3"/>
  <c r="CI24" i="3"/>
  <c r="DQ22" i="3"/>
  <c r="CS24" i="3"/>
  <c r="DX22" i="3"/>
  <c r="DZ22" i="3"/>
  <c r="BV22" i="3"/>
  <c r="EL44" i="3"/>
  <c r="DQ44" i="3"/>
  <c r="EE24" i="3"/>
  <c r="CG24" i="3"/>
  <c r="BQ24" i="3"/>
  <c r="BM24" i="3"/>
  <c r="DJ22" i="3"/>
  <c r="BG25" i="3"/>
  <c r="EH43" i="3"/>
  <c r="AT25" i="3"/>
  <c r="DD25" i="3"/>
  <c r="DL43" i="3"/>
  <c r="DD24" i="3"/>
  <c r="DK25" i="3"/>
  <c r="EE43" i="3"/>
  <c r="BQ44" i="3"/>
  <c r="DC34" i="3"/>
  <c r="CW24" i="3"/>
  <c r="CF24" i="3"/>
  <c r="CZ24" i="3"/>
  <c r="BB37" i="3"/>
  <c r="EM24" i="3"/>
  <c r="AE24" i="3"/>
  <c r="DA24" i="3"/>
  <c r="BR24" i="3"/>
  <c r="AZ24" i="3"/>
  <c r="BN22" i="3"/>
  <c r="AV24" i="3"/>
  <c r="BT24" i="3"/>
  <c r="AY25" i="3"/>
  <c r="BB24" i="3"/>
  <c r="DO22" i="3"/>
  <c r="DY44" i="3"/>
  <c r="CD44" i="3"/>
  <c r="CO22" i="3"/>
  <c r="CO44" i="3"/>
  <c r="CM24" i="3"/>
  <c r="BG24" i="3"/>
  <c r="CR24" i="3"/>
  <c r="EN24" i="3"/>
  <c r="BX22" i="3"/>
  <c r="BR25" i="3"/>
  <c r="BE25" i="3"/>
  <c r="DY25" i="3"/>
  <c r="CD43" i="3"/>
  <c r="EF25" i="3"/>
  <c r="CD22" i="3"/>
  <c r="CL22" i="3"/>
  <c r="DY34" i="3"/>
  <c r="DO24" i="3"/>
  <c r="BY24" i="3"/>
  <c r="EK24" i="3"/>
  <c r="DX24" i="3"/>
  <c r="BR22" i="3"/>
  <c r="Z24" i="3"/>
  <c r="DH24" i="3"/>
  <c r="CX24" i="3"/>
  <c r="DP22" i="3"/>
  <c r="BZ24" i="3"/>
  <c r="BB25" i="3"/>
  <c r="BP25" i="3"/>
  <c r="DW22" i="3"/>
  <c r="DM44" i="3"/>
  <c r="DR22" i="3"/>
  <c r="AY24" i="3"/>
  <c r="EL22" i="3"/>
  <c r="DX25" i="3"/>
  <c r="CE25" i="3"/>
  <c r="CO43" i="3"/>
  <c r="DY22" i="3"/>
  <c r="DF43" i="3"/>
  <c r="CB25" i="3"/>
  <c r="CK24" i="3"/>
  <c r="BV24" i="3"/>
  <c r="BW24" i="3"/>
  <c r="BR44" i="3"/>
  <c r="DR24" i="3"/>
  <c r="EJ44" i="3"/>
  <c r="ED22" i="3"/>
  <c r="CA44" i="3"/>
  <c r="DZ24" i="3"/>
  <c r="CU43" i="3"/>
  <c r="DI44" i="3"/>
  <c r="AV25" i="3"/>
  <c r="EF24" i="3"/>
  <c r="CC24" i="3"/>
  <c r="AR44" i="3"/>
  <c r="DL22" i="3"/>
  <c r="CF43" i="3"/>
  <c r="BP44" i="3"/>
  <c r="CT43" i="3"/>
  <c r="AX24" i="3"/>
  <c r="AQ24" i="3"/>
  <c r="DP24" i="3"/>
  <c r="BA25" i="3"/>
  <c r="BP22" i="3"/>
  <c r="AU44" i="3"/>
  <c r="CG22" i="3"/>
  <c r="CE22" i="3"/>
  <c r="DQ25" i="3"/>
  <c r="AS24" i="3"/>
  <c r="CA24" i="3"/>
  <c r="DU24" i="3"/>
  <c r="DJ24" i="3"/>
  <c r="BQ22" i="3"/>
  <c r="EF22" i="3"/>
  <c r="DX43" i="3"/>
  <c r="EL25" i="3"/>
  <c r="EK25" i="3"/>
  <c r="DZ43" i="3"/>
  <c r="CD39" i="3"/>
  <c r="DB25" i="3"/>
  <c r="DD22" i="3"/>
  <c r="CV24" i="3"/>
  <c r="AP38" i="3"/>
  <c r="BV38" i="3"/>
  <c r="AN37" i="3"/>
  <c r="AZ37" i="3"/>
  <c r="DD37" i="3"/>
  <c r="ED27" i="3"/>
  <c r="AU36" i="3"/>
  <c r="BM36" i="3"/>
  <c r="BE36" i="3"/>
  <c r="AI33" i="3"/>
  <c r="CS36" i="3"/>
  <c r="EI27" i="3"/>
  <c r="DH33" i="3"/>
  <c r="EJ27" i="3"/>
  <c r="BP27" i="3"/>
  <c r="AO24" i="3"/>
  <c r="EB24" i="3"/>
  <c r="BS24" i="3"/>
  <c r="EC18" i="3"/>
  <c r="DI27" i="3"/>
  <c r="EL36" i="3"/>
  <c r="AN36" i="3"/>
  <c r="CI36" i="3"/>
  <c r="DP33" i="3"/>
  <c r="CE27" i="3"/>
  <c r="BD33" i="3"/>
  <c r="BV27" i="3"/>
  <c r="CQ36" i="3"/>
  <c r="EL24" i="3"/>
  <c r="CB36" i="3"/>
  <c r="CV27" i="3"/>
  <c r="BW33" i="3"/>
  <c r="CO27" i="3"/>
  <c r="EA27" i="3"/>
  <c r="DB33" i="3"/>
  <c r="DW27" i="3"/>
  <c r="EL33" i="3"/>
  <c r="DC36" i="3"/>
  <c r="BS27" i="3"/>
  <c r="ED36" i="3"/>
  <c r="BT36" i="3"/>
  <c r="BN36" i="3"/>
  <c r="DR33" i="3"/>
  <c r="AL33" i="3"/>
  <c r="EH33" i="3"/>
  <c r="EL27" i="3"/>
  <c r="AQ33" i="3"/>
  <c r="BA24" i="3"/>
  <c r="DI43" i="3"/>
  <c r="CD24" i="3"/>
  <c r="DT24" i="3"/>
  <c r="BF24" i="3"/>
  <c r="CT36" i="3"/>
  <c r="EF36" i="3"/>
  <c r="CY36" i="3"/>
  <c r="CW27" i="3"/>
  <c r="AF36" i="3"/>
  <c r="DD27" i="3"/>
  <c r="CF42" i="3"/>
  <c r="BK33" i="3"/>
  <c r="BU27" i="3"/>
  <c r="AT33" i="3"/>
  <c r="AR36" i="3"/>
  <c r="CY27" i="3"/>
  <c r="BG33" i="3"/>
  <c r="AE36" i="3"/>
  <c r="CT24" i="3"/>
  <c r="AH24" i="3"/>
  <c r="DK24" i="3"/>
  <c r="AB24" i="3"/>
  <c r="Y36" i="3"/>
  <c r="BO36" i="3"/>
  <c r="DS27" i="3"/>
  <c r="BB36" i="3"/>
  <c r="DU36" i="3"/>
  <c r="BS36" i="3"/>
  <c r="AY36" i="3"/>
  <c r="EJ36" i="3"/>
  <c r="AX36" i="3"/>
  <c r="BW27" i="3"/>
  <c r="CJ27" i="3"/>
  <c r="CA33" i="3"/>
  <c r="EH36" i="3"/>
  <c r="DR27" i="3"/>
  <c r="CW25" i="3"/>
  <c r="BO24" i="3"/>
  <c r="AT24" i="3"/>
  <c r="ED24" i="3"/>
  <c r="BQ36" i="3"/>
  <c r="CK27" i="3"/>
  <c r="CV36" i="3"/>
  <c r="DG36" i="3"/>
  <c r="DD36" i="3"/>
  <c r="AS25" i="3"/>
  <c r="CZ43" i="3"/>
  <c r="AH36" i="3"/>
  <c r="AG36" i="3"/>
  <c r="AS36" i="3"/>
  <c r="CU36" i="3"/>
  <c r="BY25" i="3"/>
  <c r="DQ43" i="3"/>
  <c r="AE33" i="3"/>
  <c r="DV25" i="3"/>
  <c r="BK36" i="3"/>
  <c r="BF36" i="3"/>
  <c r="BH25" i="3"/>
  <c r="CC18" i="3"/>
  <c r="AQ25" i="3"/>
  <c r="EB25" i="3"/>
  <c r="DT25" i="3"/>
  <c r="CK25" i="3"/>
  <c r="CK43" i="3"/>
  <c r="CL27" i="3"/>
  <c r="DI33" i="3"/>
  <c r="BX31" i="3"/>
  <c r="DO20" i="3"/>
  <c r="BW18" i="3"/>
  <c r="DG31" i="3"/>
  <c r="CO31" i="3"/>
  <c r="BS18" i="3"/>
  <c r="EK31" i="3"/>
  <c r="DT36" i="3"/>
  <c r="AZ36" i="3"/>
  <c r="AO36" i="3"/>
  <c r="CE36" i="3"/>
  <c r="BU36" i="3"/>
  <c r="BG36" i="3"/>
  <c r="DN36" i="3"/>
  <c r="EM36" i="3"/>
  <c r="AU25" i="3"/>
  <c r="CN25" i="3"/>
  <c r="BU25" i="3"/>
  <c r="CC36" i="3"/>
  <c r="Z36" i="3"/>
  <c r="CH36" i="3"/>
  <c r="EI43" i="3"/>
  <c r="DK43" i="3"/>
  <c r="BH18" i="3"/>
  <c r="DW25" i="3"/>
  <c r="BL25" i="3"/>
  <c r="DC43" i="3"/>
  <c r="CA36" i="3"/>
  <c r="DJ31" i="3"/>
  <c r="DG25" i="3"/>
  <c r="BR36" i="3"/>
  <c r="EK36" i="3"/>
  <c r="DL36" i="3"/>
  <c r="BA36" i="3"/>
  <c r="DV36" i="3"/>
  <c r="CG36" i="3"/>
  <c r="EI36" i="3"/>
  <c r="CJ25" i="3"/>
  <c r="DS36" i="3"/>
  <c r="CP36" i="3"/>
  <c r="DP36" i="3"/>
  <c r="CK36" i="3"/>
  <c r="AB36" i="3"/>
  <c r="AM36" i="3"/>
  <c r="DF36" i="3"/>
  <c r="EJ43" i="3"/>
  <c r="AR25" i="3"/>
  <c r="CB33" i="3"/>
  <c r="CE43" i="3"/>
  <c r="AP18" i="3"/>
  <c r="BJ25" i="3"/>
  <c r="DN25" i="3"/>
  <c r="DI25" i="3"/>
  <c r="EA25" i="3"/>
  <c r="DU43" i="3"/>
  <c r="DA27" i="3"/>
  <c r="BP33" i="3"/>
  <c r="AU33" i="3"/>
  <c r="BV20" i="3"/>
  <c r="AT36" i="3"/>
  <c r="EA36" i="3"/>
  <c r="BP36" i="3"/>
  <c r="CX18" i="3"/>
  <c r="AI36" i="3"/>
  <c r="CZ36" i="3"/>
  <c r="CK18" i="3"/>
  <c r="BD25" i="3"/>
  <c r="DH43" i="3"/>
  <c r="DV43" i="3"/>
  <c r="BJ36" i="3"/>
  <c r="BX36" i="3"/>
  <c r="CL36" i="3"/>
  <c r="AL36" i="3"/>
  <c r="CD25" i="3"/>
  <c r="DA20" i="3"/>
  <c r="EI25" i="3"/>
  <c r="DQ36" i="3"/>
  <c r="CN36" i="3"/>
  <c r="CJ36" i="3"/>
  <c r="DR36" i="3"/>
  <c r="AJ36" i="3"/>
  <c r="CX36" i="3"/>
  <c r="BD36" i="3"/>
  <c r="CG25" i="3"/>
  <c r="CP27" i="3"/>
  <c r="DM43" i="3"/>
  <c r="CS25" i="3"/>
  <c r="CH18" i="3"/>
  <c r="AZ25" i="3"/>
  <c r="DR25" i="3"/>
  <c r="ED25" i="3"/>
  <c r="CI43" i="3"/>
  <c r="DX27" i="3"/>
  <c r="BH33" i="3"/>
  <c r="EK43" i="3"/>
  <c r="AQ36" i="3"/>
  <c r="BT39" i="3"/>
  <c r="AR18" i="3"/>
  <c r="EH14" i="3"/>
  <c r="DD14" i="3"/>
  <c r="DE14" i="3"/>
  <c r="DR14" i="3"/>
  <c r="BX14" i="3"/>
  <c r="CI14" i="3"/>
  <c r="BT14" i="3"/>
  <c r="ED14" i="3"/>
  <c r="BO14" i="3"/>
  <c r="CK14" i="3"/>
  <c r="EE14" i="3"/>
  <c r="DS14" i="3"/>
  <c r="CO14" i="3"/>
  <c r="EA14" i="3"/>
  <c r="DL14" i="3"/>
  <c r="BP14" i="3"/>
  <c r="DT14" i="3"/>
  <c r="CM14" i="3"/>
  <c r="EN14" i="3"/>
  <c r="DX14" i="3"/>
  <c r="CZ14" i="3"/>
  <c r="DY14" i="3"/>
  <c r="EM14" i="3"/>
  <c r="CB14" i="3"/>
  <c r="EK14" i="3"/>
  <c r="BU14" i="3"/>
  <c r="ED18" i="3"/>
  <c r="CW18" i="3"/>
  <c r="BY14" i="3"/>
  <c r="BQ14" i="3"/>
  <c r="CW14" i="3"/>
  <c r="DL18" i="3"/>
  <c r="EF39" i="3"/>
  <c r="EJ18" i="3"/>
  <c r="DS18" i="3"/>
  <c r="AL18" i="3"/>
  <c r="EB33" i="3"/>
  <c r="EI33" i="3"/>
  <c r="BU33" i="3"/>
  <c r="CN33" i="3"/>
  <c r="BU39" i="3"/>
  <c r="DR39" i="3"/>
  <c r="BQ39" i="3"/>
  <c r="DW14" i="3"/>
  <c r="CE14" i="3"/>
  <c r="AG46" i="3"/>
  <c r="DP40" i="3"/>
  <c r="CO40" i="3"/>
  <c r="BY40" i="3"/>
  <c r="CS40" i="3"/>
  <c r="CX40" i="3"/>
  <c r="AI40" i="3"/>
  <c r="EM40" i="3"/>
  <c r="BF40" i="3"/>
  <c r="DT40" i="3"/>
  <c r="CR40" i="3"/>
  <c r="BS40" i="3"/>
  <c r="DK40" i="3"/>
  <c r="DO40" i="3"/>
  <c r="CN40" i="3"/>
  <c r="CC40" i="3"/>
  <c r="AM40" i="3"/>
  <c r="AT40" i="3"/>
  <c r="AZ40" i="3"/>
  <c r="CL40" i="3"/>
  <c r="DN40" i="3"/>
  <c r="EK40" i="3"/>
  <c r="CH40" i="3"/>
  <c r="DE40" i="3"/>
  <c r="BP40" i="3"/>
  <c r="CE40" i="3"/>
  <c r="EI40" i="3"/>
  <c r="AO40" i="3"/>
  <c r="DW40" i="3"/>
  <c r="CU40" i="3"/>
  <c r="AV40" i="3"/>
  <c r="DI40" i="3"/>
  <c r="AF40" i="3"/>
  <c r="CK40" i="3"/>
  <c r="DM40" i="3"/>
  <c r="BD40" i="3"/>
  <c r="CD40" i="3"/>
  <c r="BT40" i="3"/>
  <c r="BQ40" i="3"/>
  <c r="DR40" i="3"/>
  <c r="DQ40" i="3"/>
  <c r="BU40" i="3"/>
  <c r="ED40" i="3"/>
  <c r="CQ14" i="3"/>
  <c r="CY40" i="3"/>
  <c r="BK40" i="3"/>
  <c r="EG40" i="3"/>
  <c r="CW40" i="3"/>
  <c r="BI40" i="3"/>
  <c r="EJ40" i="3"/>
  <c r="AJ46" i="3"/>
  <c r="DV39" i="3"/>
  <c r="EB14" i="3"/>
  <c r="BW14" i="3"/>
  <c r="DZ14" i="3"/>
  <c r="BS14" i="3"/>
  <c r="AN18" i="3"/>
  <c r="EF27" i="3"/>
  <c r="DJ14" i="3"/>
  <c r="BA39" i="3"/>
  <c r="EE40" i="3"/>
  <c r="DW33" i="3"/>
  <c r="CF18" i="3"/>
  <c r="EE18" i="3"/>
  <c r="CL18" i="3"/>
  <c r="BG40" i="3"/>
  <c r="DY27" i="3"/>
  <c r="DB27" i="3"/>
  <c r="AN33" i="3"/>
  <c r="DK33" i="3"/>
  <c r="AD33" i="3"/>
  <c r="CK39" i="3"/>
  <c r="BE39" i="3"/>
  <c r="DJ39" i="3"/>
  <c r="CR33" i="3"/>
  <c r="DA14" i="3"/>
  <c r="BI33" i="3"/>
  <c r="CT32" i="3"/>
  <c r="AQ31" i="3"/>
  <c r="BW31" i="3"/>
  <c r="BO31" i="3"/>
  <c r="DC31" i="3"/>
  <c r="EI18" i="3"/>
  <c r="DG18" i="3"/>
  <c r="EG18" i="3"/>
  <c r="CO18" i="3"/>
  <c r="CG39" i="3"/>
  <c r="DW18" i="3"/>
  <c r="BD18" i="3"/>
  <c r="CU18" i="3"/>
  <c r="CG18" i="3"/>
  <c r="BS39" i="3"/>
  <c r="BE18" i="3"/>
  <c r="BD39" i="3"/>
  <c r="CG14" i="3"/>
  <c r="DV14" i="3"/>
  <c r="DO18" i="3"/>
  <c r="CF39" i="3"/>
  <c r="DI39" i="3"/>
  <c r="BJ39" i="3"/>
  <c r="CY16" i="3"/>
  <c r="EC14" i="3"/>
  <c r="DT18" i="3"/>
  <c r="BP18" i="3"/>
  <c r="CM33" i="3"/>
  <c r="BL33" i="3"/>
  <c r="EL39" i="3"/>
  <c r="DK39" i="3"/>
  <c r="AK33" i="3"/>
  <c r="DJ32" i="3"/>
  <c r="CA18" i="3"/>
  <c r="DG41" i="3"/>
  <c r="AI41" i="3"/>
  <c r="AS41" i="3"/>
  <c r="AP41" i="3"/>
  <c r="AR41" i="3"/>
  <c r="AT41" i="3"/>
  <c r="DM41" i="3"/>
  <c r="DL41" i="3"/>
  <c r="CN42" i="3"/>
  <c r="BS42" i="3"/>
  <c r="ED42" i="3"/>
  <c r="CA42" i="3"/>
  <c r="BQ42" i="3"/>
  <c r="DK27" i="3"/>
  <c r="BY27" i="3"/>
  <c r="DU27" i="3"/>
  <c r="BO27" i="3"/>
  <c r="BQ27" i="3"/>
  <c r="EC27" i="3"/>
  <c r="DV27" i="3"/>
  <c r="EH27" i="3"/>
  <c r="DG27" i="3"/>
  <c r="CF27" i="3"/>
  <c r="DZ27" i="3"/>
  <c r="CD27" i="3"/>
  <c r="EK27" i="3"/>
  <c r="CS27" i="3"/>
  <c r="CZ27" i="3"/>
  <c r="DO27" i="3"/>
  <c r="BZ27" i="3"/>
  <c r="DF27" i="3"/>
  <c r="BR27" i="3"/>
  <c r="EB27" i="3"/>
  <c r="CB27" i="3"/>
  <c r="CX27" i="3"/>
  <c r="BX27" i="3"/>
  <c r="DC27" i="3"/>
  <c r="CU27" i="3"/>
  <c r="EM27" i="3"/>
  <c r="EN27" i="3"/>
  <c r="EC40" i="3"/>
  <c r="AX40" i="3"/>
  <c r="CA40" i="3"/>
  <c r="BR40" i="3"/>
  <c r="AH40" i="3"/>
  <c r="BZ14" i="3"/>
  <c r="EF14" i="3"/>
  <c r="DN14" i="3"/>
  <c r="DC39" i="3"/>
  <c r="CH42" i="3"/>
  <c r="AX33" i="3"/>
  <c r="BB18" i="3"/>
  <c r="DR18" i="3"/>
  <c r="DD18" i="3"/>
  <c r="EL18" i="3"/>
  <c r="CI27" i="3"/>
  <c r="DJ27" i="3"/>
  <c r="CC27" i="3"/>
  <c r="BS33" i="3"/>
  <c r="CG33" i="3"/>
  <c r="EF33" i="3"/>
  <c r="EE39" i="3"/>
  <c r="BC39" i="3"/>
  <c r="BM40" i="3"/>
  <c r="BR18" i="3"/>
  <c r="DB32" i="3"/>
  <c r="DK18" i="3"/>
  <c r="DQ14" i="3"/>
  <c r="DX18" i="3"/>
  <c r="AX18" i="3"/>
  <c r="CI39" i="3"/>
  <c r="BY39" i="3"/>
  <c r="BW39" i="3"/>
  <c r="DY39" i="3"/>
  <c r="BH39" i="3"/>
  <c r="DE39" i="3"/>
  <c r="BP39" i="3"/>
  <c r="CS39" i="3"/>
  <c r="CM39" i="3"/>
  <c r="DH39" i="3"/>
  <c r="CW39" i="3"/>
  <c r="EI39" i="3"/>
  <c r="CX39" i="3"/>
  <c r="AZ39" i="3"/>
  <c r="CB39" i="3"/>
  <c r="BV39" i="3"/>
  <c r="DB39" i="3"/>
  <c r="DX39" i="3"/>
  <c r="CU39" i="3"/>
  <c r="DQ39" i="3"/>
  <c r="CN39" i="3"/>
  <c r="BB39" i="3"/>
  <c r="BO39" i="3"/>
  <c r="DG39" i="3"/>
  <c r="CL39" i="3"/>
  <c r="CA39" i="3"/>
  <c r="AX39" i="3"/>
  <c r="EC39" i="3"/>
  <c r="CT39" i="3"/>
  <c r="DM39" i="3"/>
  <c r="BZ39" i="3"/>
  <c r="BX39" i="3"/>
  <c r="BR39" i="3"/>
  <c r="CH39" i="3"/>
  <c r="EM39" i="3"/>
  <c r="DS39" i="3"/>
  <c r="BI39" i="3"/>
  <c r="DA39" i="3"/>
  <c r="BM39" i="3"/>
  <c r="DP39" i="3"/>
  <c r="DO39" i="3"/>
  <c r="BC18" i="3"/>
  <c r="AW39" i="3"/>
  <c r="EK39" i="3"/>
  <c r="CF14" i="3"/>
  <c r="DV18" i="3"/>
  <c r="BF39" i="3"/>
  <c r="CN14" i="3"/>
  <c r="CB18" i="3"/>
  <c r="DJ18" i="3"/>
  <c r="BV16" i="3"/>
  <c r="BK16" i="3"/>
  <c r="DF16" i="3"/>
  <c r="DU33" i="3"/>
  <c r="CY14" i="3"/>
  <c r="DB18" i="3"/>
  <c r="DS33" i="3"/>
  <c r="CY39" i="3"/>
  <c r="BN39" i="3"/>
  <c r="CI18" i="3"/>
  <c r="BK39" i="3"/>
  <c r="CV40" i="3"/>
  <c r="AP40" i="3"/>
  <c r="DJ40" i="3"/>
  <c r="BE40" i="3"/>
  <c r="DB40" i="3"/>
  <c r="DN27" i="3"/>
  <c r="DH14" i="3"/>
  <c r="CJ14" i="3"/>
  <c r="CL14" i="3"/>
  <c r="AZ33" i="3"/>
  <c r="EG42" i="3"/>
  <c r="BH40" i="3"/>
  <c r="AL41" i="3"/>
  <c r="CT18" i="3"/>
  <c r="DQ18" i="3"/>
  <c r="AW33" i="3"/>
  <c r="AP33" i="3"/>
  <c r="CG27" i="3"/>
  <c r="CA27" i="3"/>
  <c r="DV33" i="3"/>
  <c r="CY33" i="3"/>
  <c r="CO33" i="3"/>
  <c r="CO39" i="3"/>
  <c r="DF39" i="3"/>
  <c r="BW42" i="3"/>
  <c r="DG40" i="3"/>
  <c r="BL39" i="3"/>
  <c r="AL44" i="3"/>
  <c r="DX44" i="3"/>
  <c r="BV44" i="3"/>
  <c r="CN44" i="3"/>
  <c r="DJ44" i="3"/>
  <c r="DL44" i="3"/>
  <c r="DV44" i="3"/>
  <c r="CI44" i="3"/>
  <c r="CB44" i="3"/>
  <c r="BL44" i="3"/>
  <c r="CR44" i="3"/>
  <c r="DZ44" i="3"/>
  <c r="DW44" i="3"/>
  <c r="AV44" i="3"/>
  <c r="EI44" i="3"/>
  <c r="CV32" i="3"/>
  <c r="CU32" i="3"/>
  <c r="CW32" i="3"/>
  <c r="AO18" i="3"/>
  <c r="DM18" i="3"/>
  <c r="EK18" i="3"/>
  <c r="DC18" i="3"/>
  <c r="BV18" i="3"/>
  <c r="CS18" i="3"/>
  <c r="BY18" i="3"/>
  <c r="CJ18" i="3"/>
  <c r="CY18" i="3"/>
  <c r="AQ18" i="3"/>
  <c r="CV18" i="3"/>
  <c r="BF18" i="3"/>
  <c r="BZ18" i="3"/>
  <c r="EA18" i="3"/>
  <c r="CN18" i="3"/>
  <c r="AT18" i="3"/>
  <c r="CZ18" i="3"/>
  <c r="AZ18" i="3"/>
  <c r="DF18" i="3"/>
  <c r="BQ18" i="3"/>
  <c r="DY18" i="3"/>
  <c r="DN18" i="3"/>
  <c r="AY18" i="3"/>
  <c r="CR18" i="3"/>
  <c r="CD18" i="3"/>
  <c r="BT18" i="3"/>
  <c r="AU18" i="3"/>
  <c r="EM18" i="3"/>
  <c r="DH18" i="3"/>
  <c r="BA18" i="3"/>
  <c r="BG18" i="3"/>
  <c r="BJ18" i="3"/>
  <c r="AV18" i="3"/>
  <c r="AW18" i="3"/>
  <c r="DP18" i="3"/>
  <c r="BI18" i="3"/>
  <c r="EN18" i="3"/>
  <c r="BX18" i="3"/>
  <c r="AJ18" i="3"/>
  <c r="AM18" i="3"/>
  <c r="BU18" i="3"/>
  <c r="DI18" i="3"/>
  <c r="CE18" i="3"/>
  <c r="EA39" i="3"/>
  <c r="CX14" i="3"/>
  <c r="CD14" i="3"/>
  <c r="AS18" i="3"/>
  <c r="EF18" i="3"/>
  <c r="EG39" i="3"/>
  <c r="ED39" i="3"/>
  <c r="BO18" i="3"/>
  <c r="BN33" i="3"/>
  <c r="AY33" i="3"/>
  <c r="AV33" i="3"/>
  <c r="EK33" i="3"/>
  <c r="CS33" i="3"/>
  <c r="DN33" i="3"/>
  <c r="BJ33" i="3"/>
  <c r="AH33" i="3"/>
  <c r="BQ33" i="3"/>
  <c r="BA33" i="3"/>
  <c r="CZ33" i="3"/>
  <c r="CW33" i="3"/>
  <c r="CT33" i="3"/>
  <c r="CP33" i="3"/>
  <c r="CH33" i="3"/>
  <c r="BR33" i="3"/>
  <c r="DX33" i="3"/>
  <c r="BF33" i="3"/>
  <c r="BC33" i="3"/>
  <c r="DG33" i="3"/>
  <c r="AM33" i="3"/>
  <c r="BZ33" i="3"/>
  <c r="DD33" i="3"/>
  <c r="AJ33" i="3"/>
  <c r="DJ33" i="3"/>
  <c r="DQ33" i="3"/>
  <c r="ED33" i="3"/>
  <c r="EJ33" i="3"/>
  <c r="DE33" i="3"/>
  <c r="EM33" i="3"/>
  <c r="DY33" i="3"/>
  <c r="DL33" i="3"/>
  <c r="CV33" i="3"/>
  <c r="EG33" i="3"/>
  <c r="CF33" i="3"/>
  <c r="DF33" i="3"/>
  <c r="DT33" i="3"/>
  <c r="CE33" i="3"/>
  <c r="BX33" i="3"/>
  <c r="CQ33" i="3"/>
  <c r="EC33" i="3"/>
  <c r="CD33" i="3"/>
  <c r="EA33" i="3"/>
  <c r="BT33" i="3"/>
  <c r="BB33" i="3"/>
  <c r="CK33" i="3"/>
  <c r="DM33" i="3"/>
  <c r="CX33" i="3"/>
  <c r="BV33" i="3"/>
  <c r="CS14" i="3"/>
  <c r="BN18" i="3"/>
  <c r="DZ18" i="3"/>
  <c r="CR27" i="3"/>
  <c r="EE27" i="3"/>
  <c r="AY40" i="3"/>
  <c r="EB40" i="3"/>
  <c r="CM40" i="3"/>
  <c r="AK40" i="3"/>
  <c r="CI33" i="3"/>
  <c r="CI40" i="3"/>
  <c r="BN14" i="3"/>
  <c r="DG14" i="3"/>
  <c r="DP14" i="3"/>
  <c r="DE27" i="3"/>
  <c r="CM42" i="3"/>
  <c r="DT27" i="3"/>
  <c r="DT39" i="3"/>
  <c r="EH18" i="3"/>
  <c r="BK18" i="3"/>
  <c r="EG27" i="3"/>
  <c r="BT27" i="3"/>
  <c r="BE33" i="3"/>
  <c r="CC33" i="3"/>
  <c r="CU33" i="3"/>
  <c r="BY33" i="3"/>
  <c r="EB39" i="3"/>
  <c r="EN39" i="3"/>
  <c r="CP18" i="3"/>
  <c r="DY40" i="3"/>
  <c r="CV39" i="3"/>
  <c r="DQ27" i="3"/>
  <c r="DC14" i="3"/>
  <c r="DC33" i="3"/>
  <c r="CP34" i="3"/>
  <c r="CS34" i="3"/>
  <c r="BW34" i="3"/>
  <c r="BV34" i="3"/>
  <c r="DB34" i="3"/>
  <c r="DH34" i="3"/>
  <c r="CI34" i="3"/>
  <c r="CT34" i="3"/>
  <c r="DW34" i="3"/>
  <c r="EC22" i="3"/>
  <c r="DB22" i="3"/>
  <c r="DF22" i="3"/>
  <c r="DG22" i="3"/>
  <c r="CF22" i="3"/>
  <c r="CH22" i="3"/>
  <c r="DP43" i="3"/>
  <c r="EC43" i="3"/>
  <c r="ED43" i="3"/>
  <c r="DD43" i="3"/>
  <c r="CI22" i="3"/>
  <c r="EM43" i="3"/>
  <c r="DU22" i="3"/>
  <c r="CY43" i="3"/>
  <c r="DK22" i="3"/>
  <c r="CY22" i="3"/>
  <c r="DH22" i="3"/>
  <c r="EA43" i="3"/>
  <c r="CQ43" i="3"/>
  <c r="DB43" i="3"/>
  <c r="EG43" i="3"/>
  <c r="EG22" i="3"/>
  <c r="DY43" i="3"/>
  <c r="EK22" i="3"/>
  <c r="CG43" i="3"/>
  <c r="BT22" i="3"/>
  <c r="EJ22" i="3"/>
  <c r="CZ22" i="3"/>
  <c r="CS22" i="3"/>
  <c r="CW43" i="3"/>
  <c r="BZ22" i="3"/>
  <c r="CR43" i="3"/>
  <c r="CX43" i="3"/>
  <c r="DA43" i="3"/>
  <c r="BW22" i="3"/>
  <c r="CC43" i="3"/>
  <c r="DN43" i="3"/>
  <c r="EE22" i="3"/>
  <c r="DV22" i="3"/>
  <c r="DE22" i="3"/>
  <c r="EB22" i="3"/>
  <c r="CA22" i="3"/>
  <c r="CV22" i="3"/>
  <c r="EB43" i="3"/>
  <c r="DR43" i="3"/>
  <c r="DG43" i="3"/>
  <c r="EF43" i="3"/>
  <c r="EL43" i="3"/>
  <c r="CP43" i="3"/>
  <c r="DQ20" i="3"/>
  <c r="BU20" i="3"/>
  <c r="DU20" i="3"/>
  <c r="CV20" i="3"/>
  <c r="EA20" i="3"/>
  <c r="CY20" i="3"/>
  <c r="CX20" i="3"/>
  <c r="DJ20" i="3"/>
  <c r="EI20" i="3"/>
  <c r="CL20" i="3"/>
  <c r="DX20" i="3"/>
  <c r="DY20" i="3"/>
  <c r="CD20" i="3"/>
  <c r="CH20" i="3"/>
  <c r="EH20" i="3"/>
  <c r="BW20" i="3"/>
  <c r="CJ20" i="3"/>
  <c r="DL20" i="3"/>
  <c r="CP20" i="3"/>
  <c r="DV20" i="3"/>
  <c r="CC20" i="3"/>
  <c r="CM20" i="3"/>
  <c r="DW20" i="3"/>
  <c r="DG20" i="3"/>
  <c r="DN20" i="3"/>
  <c r="CU20" i="3"/>
  <c r="DF20" i="3"/>
  <c r="EN20" i="3"/>
  <c r="EC20" i="3"/>
  <c r="DE20" i="3"/>
  <c r="DC20" i="3"/>
  <c r="CB20" i="3"/>
  <c r="DQ16" i="3"/>
  <c r="BO16" i="3"/>
  <c r="CJ16" i="3"/>
  <c r="BM16" i="3"/>
  <c r="DM16" i="3"/>
  <c r="BN16" i="3"/>
  <c r="CZ16" i="3"/>
  <c r="EA16" i="3"/>
  <c r="DT16" i="3"/>
  <c r="CG16" i="3"/>
  <c r="AX16" i="3"/>
  <c r="EE16" i="3"/>
  <c r="CC16" i="3"/>
  <c r="DJ16" i="3"/>
  <c r="DI16" i="3"/>
  <c r="CB16" i="3"/>
  <c r="AT16" i="3"/>
  <c r="CD16" i="3"/>
  <c r="DV16" i="3"/>
  <c r="DH16" i="3"/>
  <c r="EH16" i="3"/>
  <c r="CL16" i="3"/>
  <c r="AR16" i="3"/>
  <c r="BJ16" i="3"/>
  <c r="EC16" i="3"/>
  <c r="CM16" i="3"/>
  <c r="CT16" i="3"/>
  <c r="DW16" i="3"/>
  <c r="BZ16" i="3"/>
  <c r="DR16" i="3"/>
  <c r="BD16" i="3"/>
  <c r="BE16" i="3"/>
  <c r="CV16" i="3"/>
  <c r="DZ16" i="3"/>
  <c r="BR16" i="3"/>
  <c r="BY16" i="3"/>
  <c r="CK16" i="3"/>
  <c r="CQ16" i="3"/>
  <c r="CO16" i="3"/>
  <c r="CW16" i="3"/>
  <c r="BT16" i="3"/>
  <c r="BK41" i="3"/>
  <c r="BQ16" i="3"/>
  <c r="EF20" i="3"/>
  <c r="DP20" i="3"/>
  <c r="CS20" i="3"/>
  <c r="CR31" i="3"/>
  <c r="DN16" i="3"/>
  <c r="EF16" i="3"/>
  <c r="DC42" i="3"/>
  <c r="CJ41" i="3"/>
  <c r="CK41" i="3"/>
  <c r="AK31" i="3"/>
  <c r="EM20" i="3"/>
  <c r="BL16" i="3"/>
  <c r="DZ42" i="3"/>
  <c r="BJ41" i="3"/>
  <c r="CF16" i="3"/>
  <c r="DL16" i="3"/>
  <c r="AP31" i="3"/>
  <c r="BQ20" i="3"/>
  <c r="EG20" i="3"/>
  <c r="Z41" i="3"/>
  <c r="DZ34" i="3"/>
  <c r="CY34" i="3"/>
  <c r="CF34" i="3"/>
  <c r="DL34" i="3"/>
  <c r="DE34" i="3"/>
  <c r="CN34" i="3"/>
  <c r="CB34" i="3"/>
  <c r="DM34" i="3"/>
  <c r="CX34" i="3"/>
  <c r="EA34" i="3"/>
  <c r="DI34" i="3"/>
  <c r="CJ34" i="3"/>
  <c r="CG34" i="3"/>
  <c r="DV34" i="3"/>
  <c r="DT34" i="3"/>
  <c r="CU34" i="3"/>
  <c r="DU34" i="3"/>
  <c r="DX34" i="3"/>
  <c r="EM34" i="3"/>
  <c r="DO34" i="3"/>
  <c r="EI34" i="3"/>
  <c r="EE34" i="3"/>
  <c r="CW34" i="3"/>
  <c r="DA34" i="3"/>
  <c r="CH34" i="3"/>
  <c r="DG34" i="3"/>
  <c r="DR34" i="3"/>
  <c r="CD34" i="3"/>
  <c r="CR34" i="3"/>
  <c r="EB34" i="3"/>
  <c r="EL34" i="3"/>
  <c r="CL34" i="3"/>
  <c r="CQ34" i="3"/>
  <c r="DD34" i="3"/>
  <c r="CM34" i="3"/>
  <c r="CO34" i="3"/>
  <c r="BZ34" i="3"/>
  <c r="EH34" i="3"/>
  <c r="DQ34" i="3"/>
  <c r="CV34" i="3"/>
  <c r="EF34" i="3"/>
  <c r="EK44" i="3"/>
  <c r="DH44" i="3"/>
  <c r="EM44" i="3"/>
  <c r="AM44" i="3"/>
  <c r="BT44" i="3"/>
  <c r="DB44" i="3"/>
  <c r="DN44" i="3"/>
  <c r="BS44" i="3"/>
  <c r="BW44" i="3"/>
  <c r="BU44" i="3"/>
  <c r="BY44" i="3"/>
  <c r="CT44" i="3"/>
  <c r="AP44" i="3"/>
  <c r="CL44" i="3"/>
  <c r="EB44" i="3"/>
  <c r="BC44" i="3"/>
  <c r="DP44" i="3"/>
  <c r="CS44" i="3"/>
  <c r="CX44" i="3"/>
  <c r="EC44" i="3"/>
  <c r="BI44" i="3"/>
  <c r="EF44" i="3"/>
  <c r="DE44" i="3"/>
  <c r="AO44" i="3"/>
  <c r="BO44" i="3"/>
  <c r="CV44" i="3"/>
  <c r="DR44" i="3"/>
  <c r="CJ44" i="3"/>
  <c r="EG44" i="3"/>
  <c r="BE44" i="3"/>
  <c r="ED44" i="3"/>
  <c r="EH44" i="3"/>
  <c r="DU44" i="3"/>
  <c r="CY44" i="3"/>
  <c r="CQ44" i="3"/>
  <c r="AS44" i="3"/>
  <c r="CP44" i="3"/>
  <c r="AT44" i="3"/>
  <c r="EA44" i="3"/>
  <c r="AZ44" i="3"/>
  <c r="CC44" i="3"/>
  <c r="AQ44" i="3"/>
  <c r="AN44" i="3"/>
  <c r="BA44" i="3"/>
  <c r="BB44" i="3"/>
  <c r="AY44" i="3"/>
  <c r="BN44" i="3"/>
  <c r="DC44" i="3"/>
  <c r="CZ44" i="3"/>
  <c r="ED16" i="3"/>
  <c r="BU16" i="3"/>
  <c r="BX20" i="3"/>
  <c r="CP31" i="3"/>
  <c r="DF31" i="3"/>
  <c r="AW31" i="3"/>
  <c r="AU31" i="3"/>
  <c r="EE31" i="3"/>
  <c r="DX31" i="3"/>
  <c r="EJ31" i="3"/>
  <c r="CV31" i="3"/>
  <c r="BF31" i="3"/>
  <c r="CQ31" i="3"/>
  <c r="BB31" i="3"/>
  <c r="CU31" i="3"/>
  <c r="DB31" i="3"/>
  <c r="BE31" i="3"/>
  <c r="EA31" i="3"/>
  <c r="CM31" i="3"/>
  <c r="CX31" i="3"/>
  <c r="BY31" i="3"/>
  <c r="DR31" i="3"/>
  <c r="DM31" i="3"/>
  <c r="AZ31" i="3"/>
  <c r="EN31" i="3"/>
  <c r="BA31" i="3"/>
  <c r="BU31" i="3"/>
  <c r="BG31" i="3"/>
  <c r="DD31" i="3"/>
  <c r="EL31" i="3"/>
  <c r="DV31" i="3"/>
  <c r="EG31" i="3"/>
  <c r="EB31" i="3"/>
  <c r="DK31" i="3"/>
  <c r="DY31" i="3"/>
  <c r="ED31" i="3"/>
  <c r="DS31" i="3"/>
  <c r="CE31" i="3"/>
  <c r="CI31" i="3"/>
  <c r="AV31" i="3"/>
  <c r="DU31" i="3"/>
  <c r="BG16" i="3"/>
  <c r="DC16" i="3"/>
  <c r="BO42" i="3"/>
  <c r="BR31" i="3"/>
  <c r="CO20" i="3"/>
  <c r="DB20" i="3"/>
  <c r="DK20" i="3"/>
  <c r="CW42" i="3"/>
  <c r="BS41" i="3"/>
  <c r="AQ16" i="3"/>
  <c r="DR20" i="3"/>
  <c r="EK20" i="3"/>
  <c r="DD16" i="3"/>
  <c r="BI41" i="3"/>
  <c r="BY41" i="3"/>
  <c r="AC41" i="3"/>
  <c r="CF20" i="3"/>
  <c r="AW16" i="3"/>
  <c r="CN41" i="3"/>
  <c r="EH31" i="3"/>
  <c r="CJ31" i="3"/>
  <c r="CQ20" i="3"/>
  <c r="EG16" i="3"/>
  <c r="DP34" i="3"/>
  <c r="EK34" i="3"/>
  <c r="CZ34" i="3"/>
  <c r="CO41" i="3"/>
  <c r="DP41" i="3"/>
  <c r="DI41" i="3"/>
  <c r="DF41" i="3"/>
  <c r="DX41" i="3"/>
  <c r="BP41" i="3"/>
  <c r="AH41" i="3"/>
  <c r="EI41" i="3"/>
  <c r="AA41" i="3"/>
  <c r="CS41" i="3"/>
  <c r="CD41" i="3"/>
  <c r="EN41" i="3"/>
  <c r="DU41" i="3"/>
  <c r="AZ41" i="3"/>
  <c r="EL41" i="3"/>
  <c r="EF41" i="3"/>
  <c r="ED41" i="3"/>
  <c r="DS41" i="3"/>
  <c r="AY41" i="3"/>
  <c r="CC41" i="3"/>
  <c r="EK41" i="3"/>
  <c r="BZ41" i="3"/>
  <c r="EA41" i="3"/>
  <c r="DQ41" i="3"/>
  <c r="DC41" i="3"/>
  <c r="BN41" i="3"/>
  <c r="CG41" i="3"/>
  <c r="CR41" i="3"/>
  <c r="EE41" i="3"/>
  <c r="DD41" i="3"/>
  <c r="CW41" i="3"/>
  <c r="BW41" i="3"/>
  <c r="BA41" i="3"/>
  <c r="DA41" i="3"/>
  <c r="CI41" i="3"/>
  <c r="CY41" i="3"/>
  <c r="DY41" i="3"/>
  <c r="BV41" i="3"/>
  <c r="DH41" i="3"/>
  <c r="AB41" i="3"/>
  <c r="AX41" i="3"/>
  <c r="BB41" i="3"/>
  <c r="BU41" i="3"/>
  <c r="DE41" i="3"/>
  <c r="CH41" i="3"/>
  <c r="AK41" i="3"/>
  <c r="DN41" i="3"/>
  <c r="DK41" i="3"/>
  <c r="DV41" i="3"/>
  <c r="BM41" i="3"/>
  <c r="CB41" i="3"/>
  <c r="AO41" i="3"/>
  <c r="CL41" i="3"/>
  <c r="AQ41" i="3"/>
  <c r="AJ41" i="3"/>
  <c r="BX41" i="3"/>
  <c r="CV41" i="3"/>
  <c r="BT41" i="3"/>
  <c r="BQ41" i="3"/>
  <c r="BD41" i="3"/>
  <c r="EB41" i="3"/>
  <c r="AW41" i="3"/>
  <c r="CX41" i="3"/>
  <c r="Y41" i="3"/>
  <c r="DW41" i="3"/>
  <c r="EJ41" i="3"/>
  <c r="CA16" i="3"/>
  <c r="ED20" i="3"/>
  <c r="CE41" i="3"/>
  <c r="EC41" i="3"/>
  <c r="EM41" i="3"/>
  <c r="DA16" i="3"/>
  <c r="DN42" i="3"/>
  <c r="BK42" i="3"/>
  <c r="BZ42" i="3"/>
  <c r="DS42" i="3"/>
  <c r="DT42" i="3"/>
  <c r="EL42" i="3"/>
  <c r="CT42" i="3"/>
  <c r="CO42" i="3"/>
  <c r="CL42" i="3"/>
  <c r="CY42" i="3"/>
  <c r="DU42" i="3"/>
  <c r="BY42" i="3"/>
  <c r="DY42" i="3"/>
  <c r="DF42" i="3"/>
  <c r="EN42" i="3"/>
  <c r="BG42" i="3"/>
  <c r="CG42" i="3"/>
  <c r="DM42" i="3"/>
  <c r="EC42" i="3"/>
  <c r="CK42" i="3"/>
  <c r="DP42" i="3"/>
  <c r="EM42" i="3"/>
  <c r="DK42" i="3"/>
  <c r="DE42" i="3"/>
  <c r="CB42" i="3"/>
  <c r="BR42" i="3"/>
  <c r="CC42" i="3"/>
  <c r="BX42" i="3"/>
  <c r="CI42" i="3"/>
  <c r="DO42" i="3"/>
  <c r="BU42" i="3"/>
  <c r="EF42" i="3"/>
  <c r="CQ42" i="3"/>
  <c r="CP42" i="3"/>
  <c r="DX42" i="3"/>
  <c r="EE42" i="3"/>
  <c r="EK42" i="3"/>
  <c r="CJ42" i="3"/>
  <c r="DD42" i="3"/>
  <c r="EB42" i="3"/>
  <c r="DR42" i="3"/>
  <c r="DI42" i="3"/>
  <c r="BL42" i="3"/>
  <c r="CR16" i="3"/>
  <c r="EJ20" i="3"/>
  <c r="BT42" i="3"/>
  <c r="CD42" i="3"/>
  <c r="AV41" i="3"/>
  <c r="BI16" i="3"/>
  <c r="AU16" i="3"/>
  <c r="DE46" i="3"/>
  <c r="BP46" i="3"/>
  <c r="EN46" i="3"/>
  <c r="CY46" i="3"/>
  <c r="EN16" i="3"/>
  <c r="AM31" i="3"/>
  <c r="EB16" i="3"/>
  <c r="BP16" i="3"/>
  <c r="DL46" i="3"/>
  <c r="CS16" i="3"/>
  <c r="DW42" i="3"/>
  <c r="AD41" i="3"/>
  <c r="DY16" i="3"/>
  <c r="CA31" i="3"/>
  <c r="BB16" i="3"/>
  <c r="DA42" i="3"/>
  <c r="CZ42" i="3"/>
  <c r="CU42" i="3"/>
  <c r="DB42" i="3"/>
  <c r="EL16" i="3"/>
  <c r="AV16" i="3"/>
  <c r="DG16" i="3"/>
  <c r="BA16" i="3"/>
  <c r="BZ44" i="3"/>
  <c r="BX16" i="3"/>
  <c r="CU44" i="3"/>
  <c r="BX44" i="3"/>
  <c r="BG44" i="3"/>
  <c r="CK44" i="3"/>
  <c r="DO41" i="3"/>
  <c r="DS20" i="3"/>
  <c r="BM42" i="3"/>
  <c r="BH42" i="3"/>
  <c r="CS42" i="3"/>
  <c r="BC41" i="3"/>
  <c r="CP41" i="3"/>
  <c r="AF41" i="3"/>
  <c r="DZ41" i="3"/>
  <c r="CU16" i="3"/>
  <c r="AR31" i="3"/>
  <c r="AS31" i="3"/>
  <c r="DH31" i="3"/>
  <c r="EL20" i="3"/>
  <c r="DO16" i="3"/>
  <c r="DF34" i="3"/>
  <c r="BY34" i="3"/>
  <c r="CM44" i="3"/>
  <c r="CQ41" i="3"/>
  <c r="CX16" i="3"/>
  <c r="BO41" i="3"/>
  <c r="DZ20" i="3"/>
  <c r="DJ41" i="3"/>
  <c r="DT41" i="3"/>
  <c r="AY16" i="3"/>
  <c r="AO16" i="3"/>
  <c r="DK16" i="3"/>
  <c r="EA42" i="3"/>
  <c r="CX42" i="3"/>
  <c r="EI16" i="3"/>
  <c r="CI16" i="3"/>
  <c r="BH41" i="3"/>
  <c r="BG41" i="3"/>
  <c r="BE41" i="3"/>
  <c r="EI31" i="3"/>
  <c r="BI31" i="3"/>
  <c r="DZ31" i="3"/>
  <c r="CK20" i="3"/>
  <c r="BP42" i="3"/>
  <c r="CT41" i="3"/>
  <c r="BF41" i="3"/>
  <c r="DU16" i="3"/>
  <c r="EM16" i="3"/>
  <c r="CN16" i="3"/>
  <c r="EM31" i="3"/>
  <c r="EJ16" i="3"/>
  <c r="BV42" i="3"/>
  <c r="CE42" i="3"/>
  <c r="DV42" i="3"/>
  <c r="BH16" i="3"/>
  <c r="DR41" i="3"/>
  <c r="DG42" i="3"/>
  <c r="AE41" i="3"/>
  <c r="AM41" i="3"/>
  <c r="AG41" i="3"/>
  <c r="CG44" i="3"/>
  <c r="DS16" i="3"/>
  <c r="DW31" i="3"/>
  <c r="DN31" i="3"/>
  <c r="DX16" i="3"/>
  <c r="BP20" i="3"/>
  <c r="CN20" i="3"/>
  <c r="CA34" i="3"/>
  <c r="CE34" i="3"/>
  <c r="BN42" i="3"/>
  <c r="EG41" i="3"/>
  <c r="CP16" i="3"/>
  <c r="DB16" i="3"/>
  <c r="DB41" i="3"/>
  <c r="BC16" i="3"/>
  <c r="CH16" i="3"/>
  <c r="BW16" i="3"/>
  <c r="CV42" i="3"/>
  <c r="CF41" i="3"/>
  <c r="AS16" i="3"/>
  <c r="AP16" i="3"/>
  <c r="DL42" i="3"/>
  <c r="BI42" i="3"/>
  <c r="EJ42" i="3"/>
  <c r="CZ20" i="3"/>
  <c r="BR41" i="3"/>
  <c r="DP31" i="3"/>
  <c r="CZ41" i="3"/>
  <c r="BL41" i="3"/>
  <c r="CA41" i="3"/>
  <c r="DE16" i="3"/>
  <c r="BZ31" i="3"/>
  <c r="AJ31" i="3"/>
  <c r="CY31" i="3"/>
  <c r="DD20" i="3"/>
  <c r="DT20" i="3"/>
  <c r="AN41" i="3"/>
  <c r="CE16" i="3"/>
  <c r="BF16" i="3"/>
  <c r="CK46" i="3"/>
  <c r="DS44" i="3"/>
  <c r="EE44" i="3"/>
  <c r="BJ44" i="3"/>
  <c r="DJ42" i="3"/>
  <c r="EH42" i="3"/>
  <c r="CR42" i="3"/>
  <c r="DG44" i="3"/>
  <c r="EB20" i="3"/>
  <c r="EH41" i="3"/>
  <c r="AU41" i="3"/>
  <c r="CM41" i="3"/>
  <c r="BS16" i="3"/>
  <c r="AT31" i="3"/>
  <c r="CW31" i="3"/>
  <c r="BT20" i="3"/>
  <c r="CG20" i="3"/>
  <c r="DS34" i="3"/>
  <c r="EG34" i="3"/>
  <c r="CC34" i="3"/>
  <c r="CX32" i="3"/>
  <c r="AK18" i="3"/>
  <c r="BL18" i="3"/>
  <c r="EB18" i="3"/>
  <c r="CQ18" i="3"/>
  <c r="DU18" i="3"/>
  <c r="CM18" i="3"/>
  <c r="DE25" i="3"/>
  <c r="CO25" i="3"/>
  <c r="DC25" i="3"/>
  <c r="CP25" i="3"/>
  <c r="DL25" i="3"/>
  <c r="BQ25" i="3"/>
  <c r="BF25" i="3"/>
  <c r="BN25" i="3"/>
  <c r="EJ25" i="3"/>
  <c r="CL25" i="3"/>
  <c r="CH25" i="3"/>
  <c r="AW25" i="3"/>
  <c r="BZ25" i="3"/>
  <c r="BW25" i="3"/>
  <c r="CX25" i="3"/>
  <c r="DA25" i="3"/>
  <c r="CM25" i="3"/>
  <c r="DJ25" i="3"/>
  <c r="CV25" i="3"/>
  <c r="CF25" i="3"/>
  <c r="CR25" i="3"/>
  <c r="DH25" i="3"/>
  <c r="BM25" i="3"/>
  <c r="AC36" i="3"/>
  <c r="CW36" i="3"/>
  <c r="CD36" i="3"/>
  <c r="EE36" i="3"/>
  <c r="CM36" i="3"/>
  <c r="DA36" i="3"/>
  <c r="DK36" i="3"/>
  <c r="DO32" i="3"/>
  <c r="DE18" i="3"/>
  <c r="BM18" i="3"/>
  <c r="EE33" i="3"/>
  <c r="CJ33" i="3"/>
  <c r="AG33" i="3"/>
  <c r="AW46" i="3"/>
  <c r="DX46" i="3"/>
  <c r="DI46" i="3"/>
  <c r="EK46" i="3"/>
  <c r="CG46" i="3"/>
  <c r="CQ46" i="3"/>
  <c r="EA46" i="3"/>
  <c r="DA32" i="3"/>
  <c r="EL32" i="3"/>
  <c r="CB31" i="3"/>
  <c r="CS31" i="3"/>
  <c r="BC31" i="3"/>
  <c r="DE31" i="3"/>
  <c r="BS31" i="3"/>
  <c r="BK31" i="3"/>
  <c r="AY31" i="3"/>
  <c r="CK31" i="3"/>
  <c r="DI31" i="3"/>
  <c r="CH31" i="3"/>
  <c r="DQ31" i="3"/>
  <c r="CG31" i="3"/>
  <c r="DT31" i="3"/>
  <c r="EC31" i="3"/>
  <c r="DA31" i="3"/>
  <c r="EF31" i="3"/>
  <c r="BP31" i="3"/>
  <c r="CF31" i="3"/>
  <c r="DL31" i="3"/>
  <c r="CD31" i="3"/>
  <c r="CL31" i="3"/>
  <c r="BV31" i="3"/>
  <c r="CN31" i="3"/>
  <c r="BH31" i="3"/>
  <c r="CT31" i="3"/>
  <c r="BM31" i="3"/>
  <c r="AX31" i="3"/>
  <c r="BQ31" i="3"/>
  <c r="BT31" i="3"/>
  <c r="EE20" i="3"/>
  <c r="BR20" i="3"/>
  <c r="DH20" i="3"/>
  <c r="CA20" i="3"/>
  <c r="BY20" i="3"/>
  <c r="CP46" i="3"/>
  <c r="DA46" i="3"/>
  <c r="DR46" i="3"/>
  <c r="CZ46" i="3"/>
  <c r="BH46" i="3"/>
  <c r="CX46" i="3"/>
  <c r="BZ46" i="3"/>
  <c r="BV46" i="3"/>
  <c r="CM46" i="3"/>
  <c r="DS32" i="3"/>
  <c r="DM22" i="3"/>
  <c r="BG46" i="3"/>
  <c r="DK46" i="3"/>
  <c r="EB46" i="3"/>
  <c r="AP46" i="3"/>
  <c r="AT46" i="3"/>
  <c r="DS46" i="3"/>
  <c r="DJ46" i="3"/>
  <c r="CE46" i="3"/>
  <c r="AK46" i="3"/>
  <c r="CA46" i="3"/>
  <c r="DQ46" i="3"/>
  <c r="BF46" i="3"/>
  <c r="BY46" i="3"/>
  <c r="AR46" i="3"/>
  <c r="DW46" i="3"/>
  <c r="BI46" i="3"/>
  <c r="EL46" i="3"/>
  <c r="EC46" i="3"/>
  <c r="EI22" i="3"/>
  <c r="CY32" i="3"/>
  <c r="CU46" i="3"/>
  <c r="DZ46" i="3"/>
  <c r="CW46" i="3"/>
  <c r="CB46" i="3"/>
  <c r="BE46" i="3"/>
  <c r="EJ46" i="3"/>
  <c r="EH46" i="3"/>
  <c r="DQ32" i="3"/>
  <c r="DW32" i="3"/>
  <c r="BN46" i="3"/>
  <c r="DO46" i="3"/>
  <c r="DP32" i="3"/>
  <c r="DU32" i="3"/>
  <c r="EG32" i="3"/>
  <c r="AV46" i="3"/>
  <c r="AM46" i="3"/>
  <c r="EE46" i="3"/>
  <c r="BR46" i="3"/>
  <c r="CD46" i="3"/>
  <c r="DU46" i="3"/>
  <c r="DR32" i="3"/>
  <c r="EJ32" i="3"/>
  <c r="EK32" i="3"/>
  <c r="CH46" i="3"/>
  <c r="DV46" i="3"/>
  <c r="AS46" i="3"/>
  <c r="EM46" i="3"/>
  <c r="BL46" i="3"/>
  <c r="CJ46" i="3"/>
  <c r="AZ46" i="3"/>
  <c r="CR46" i="3"/>
  <c r="BB46" i="3"/>
  <c r="DG46" i="3"/>
  <c r="DE32" i="3"/>
  <c r="DH32" i="3"/>
  <c r="ED32" i="3"/>
  <c r="AX46" i="3"/>
  <c r="AY46" i="3"/>
  <c r="EI46" i="3"/>
  <c r="CC46" i="3"/>
  <c r="BC46" i="3"/>
  <c r="CI46" i="3"/>
  <c r="DH46" i="3"/>
  <c r="BW46" i="3"/>
  <c r="EG46" i="3"/>
  <c r="BD46" i="3"/>
  <c r="DN46" i="3"/>
  <c r="CN46" i="3"/>
  <c r="ED46" i="3"/>
  <c r="DD46" i="3"/>
  <c r="AL46" i="3"/>
  <c r="DT46" i="3"/>
  <c r="DC46" i="3"/>
  <c r="DP46" i="3"/>
  <c r="DY46" i="3"/>
  <c r="AO46" i="3"/>
  <c r="DF46" i="3"/>
  <c r="CT46" i="3"/>
  <c r="DO31" i="3"/>
  <c r="CZ31" i="3"/>
  <c r="AO31" i="3"/>
  <c r="DM20" i="3"/>
  <c r="BZ20" i="3"/>
  <c r="DI20" i="3"/>
  <c r="CW20" i="3"/>
  <c r="CC22" i="3"/>
  <c r="EN32" i="3"/>
  <c r="DZ32" i="3"/>
  <c r="BQ46" i="3"/>
  <c r="BM46" i="3"/>
  <c r="BS46" i="3"/>
  <c r="AU46" i="3"/>
  <c r="CO46" i="3"/>
  <c r="BO46" i="3"/>
  <c r="DM46" i="3"/>
  <c r="CS46" i="3"/>
  <c r="DB46" i="3"/>
  <c r="AQ46" i="3"/>
  <c r="DV32" i="3"/>
  <c r="DF32" i="3"/>
  <c r="AN46" i="3"/>
  <c r="BJ46" i="3"/>
  <c r="EF46" i="3"/>
  <c r="BU46" i="3"/>
  <c r="BA46" i="3"/>
  <c r="BK46" i="3"/>
  <c r="CF46" i="3"/>
  <c r="CL46" i="3"/>
  <c r="AN31" i="3"/>
  <c r="CX22" i="3"/>
  <c r="BJ31" i="3"/>
  <c r="BL31" i="3"/>
  <c r="CC31" i="3"/>
  <c r="BD31" i="3"/>
  <c r="BT46" i="3"/>
  <c r="CE20" i="3"/>
  <c r="CR20" i="3"/>
  <c r="BS20" i="3"/>
  <c r="CI20" i="3"/>
  <c r="EC32" i="3"/>
  <c r="EM32" i="3"/>
  <c r="DC32" i="3"/>
  <c r="CB35" i="3"/>
  <c r="DF35" i="3"/>
  <c r="DG35" i="3"/>
  <c r="DX35" i="3"/>
  <c r="DY35" i="3"/>
  <c r="DZ35" i="3"/>
  <c r="CL35" i="3"/>
  <c r="DQ35" i="3"/>
  <c r="CA35" i="3"/>
  <c r="BO35" i="3"/>
  <c r="EL35" i="3"/>
  <c r="DA35" i="3"/>
  <c r="CD35" i="3"/>
  <c r="CM35" i="3"/>
  <c r="DD35" i="3"/>
  <c r="DB35" i="3"/>
  <c r="CO35" i="3"/>
  <c r="BV35" i="3"/>
  <c r="DW35" i="3"/>
  <c r="DK35" i="3"/>
  <c r="DR35" i="3"/>
  <c r="EI35" i="3"/>
  <c r="CC35" i="3"/>
  <c r="BM35" i="3"/>
  <c r="CF35" i="3"/>
  <c r="CS35" i="3"/>
  <c r="BY35" i="3"/>
  <c r="BP35" i="3"/>
  <c r="BZ35" i="3"/>
  <c r="BL35" i="3"/>
  <c r="CK35" i="3"/>
  <c r="EK35" i="3"/>
  <c r="CT35" i="3"/>
  <c r="DE35" i="3"/>
  <c r="EE35" i="3"/>
  <c r="BX35" i="3"/>
  <c r="CW35" i="3"/>
  <c r="ED35" i="3"/>
  <c r="DV35" i="3"/>
  <c r="CR35" i="3"/>
  <c r="DJ35" i="3"/>
  <c r="DP35" i="3"/>
  <c r="EM35" i="3"/>
  <c r="DI35" i="3"/>
  <c r="EB35" i="3"/>
  <c r="CJ35" i="3"/>
  <c r="CH35" i="3"/>
  <c r="BR35" i="3"/>
  <c r="DT35" i="3"/>
  <c r="EF35" i="3"/>
  <c r="DM35" i="3"/>
  <c r="EJ35" i="3"/>
  <c r="CZ35" i="3"/>
  <c r="DU35" i="3"/>
  <c r="DL35" i="3"/>
  <c r="EN35" i="3"/>
  <c r="BW35" i="3"/>
  <c r="DH35" i="3"/>
  <c r="BU35" i="3"/>
  <c r="CP35" i="3"/>
  <c r="DC35" i="3"/>
  <c r="DS35" i="3"/>
  <c r="EH35" i="3"/>
  <c r="CI35" i="3"/>
  <c r="EG35" i="3"/>
  <c r="DN35" i="3"/>
  <c r="CU35" i="3"/>
  <c r="CX35" i="3"/>
  <c r="BN35" i="3"/>
  <c r="CN35" i="3"/>
  <c r="BT35" i="3"/>
  <c r="CY35" i="3"/>
  <c r="CV35" i="3"/>
  <c r="BS35" i="3"/>
  <c r="CE35" i="3"/>
  <c r="EC35" i="3"/>
  <c r="CQ35" i="3"/>
  <c r="DO35" i="3"/>
  <c r="CG35" i="3"/>
  <c r="EA35" i="3"/>
  <c r="BQ35" i="3"/>
  <c r="CS32" i="3"/>
  <c r="EB32" i="3"/>
  <c r="CZ32" i="3"/>
  <c r="EA32" i="3"/>
  <c r="DL32" i="3"/>
  <c r="DK32" i="3"/>
  <c r="DD32" i="3"/>
  <c r="DM32" i="3"/>
  <c r="DG32" i="3"/>
  <c r="BV23" i="3"/>
  <c r="BW23" i="3"/>
  <c r="CF23" i="3"/>
  <c r="DF23" i="3"/>
  <c r="AS23" i="3"/>
  <c r="DS23" i="3"/>
  <c r="AW23" i="3"/>
  <c r="DW23" i="3"/>
  <c r="DM23" i="3"/>
  <c r="DH23" i="3"/>
  <c r="DU23" i="3"/>
  <c r="BP23" i="3"/>
  <c r="AK23" i="3"/>
  <c r="DP23" i="3"/>
  <c r="DX23" i="3"/>
  <c r="CM23" i="3"/>
  <c r="CQ23" i="3"/>
  <c r="DQ23" i="3"/>
  <c r="EG23" i="3"/>
  <c r="AN23" i="3"/>
  <c r="CC23" i="3"/>
  <c r="BF23" i="3"/>
  <c r="EF23" i="3"/>
  <c r="AY23" i="3"/>
  <c r="DK23" i="3"/>
  <c r="BS23" i="3"/>
  <c r="BE23" i="3"/>
  <c r="BB23" i="3"/>
  <c r="CP23" i="3"/>
  <c r="AL23" i="3"/>
  <c r="CD23" i="3"/>
  <c r="EK23" i="3"/>
  <c r="DE23" i="3"/>
  <c r="EC23" i="3"/>
  <c r="CV23" i="3"/>
  <c r="AM23" i="3"/>
  <c r="BO23" i="3"/>
  <c r="BH23" i="3"/>
  <c r="AU23" i="3"/>
  <c r="DD23" i="3"/>
  <c r="AV23" i="3"/>
  <c r="EM23" i="3"/>
  <c r="CI23" i="3"/>
  <c r="BI23" i="3"/>
  <c r="EE23" i="3"/>
  <c r="DB23" i="3"/>
  <c r="DG23" i="3"/>
  <c r="BL23" i="3"/>
  <c r="DJ23" i="3"/>
  <c r="AJ23" i="3"/>
  <c r="CU23" i="3"/>
  <c r="BU23" i="3"/>
  <c r="DA23" i="3"/>
  <c r="DV23" i="3"/>
  <c r="ED23" i="3"/>
  <c r="EA23" i="3"/>
  <c r="DC23" i="3"/>
  <c r="EN23" i="3"/>
  <c r="DY23" i="3"/>
  <c r="AH23" i="3"/>
  <c r="CB23" i="3"/>
  <c r="BK23" i="3"/>
  <c r="CO23" i="3"/>
  <c r="CL23" i="3"/>
  <c r="CS23" i="3"/>
  <c r="AZ23" i="3"/>
  <c r="DO23" i="3"/>
  <c r="DT23" i="3"/>
  <c r="CH23" i="3"/>
  <c r="EI23" i="3"/>
  <c r="EJ23" i="3"/>
  <c r="BC23" i="3"/>
  <c r="BA23" i="3"/>
  <c r="BX23" i="3"/>
  <c r="AT23" i="3"/>
  <c r="BG23" i="3"/>
  <c r="CK23" i="3"/>
  <c r="BR23" i="3"/>
  <c r="CW23" i="3"/>
  <c r="CX23" i="3"/>
  <c r="CT23" i="3"/>
  <c r="BN23" i="3"/>
  <c r="EB23" i="3"/>
  <c r="EH23" i="3"/>
  <c r="CZ23" i="3"/>
  <c r="AI23" i="3"/>
  <c r="CN23" i="3"/>
  <c r="CJ23" i="3"/>
  <c r="AO23" i="3"/>
  <c r="AX23" i="3"/>
  <c r="BD23" i="3"/>
  <c r="BM23" i="3"/>
  <c r="CR23" i="3"/>
  <c r="DZ23" i="3"/>
  <c r="CE23" i="3"/>
  <c r="AQ23" i="3"/>
  <c r="EL23" i="3"/>
  <c r="CA23" i="3"/>
  <c r="BZ23" i="3"/>
  <c r="DR23" i="3"/>
  <c r="BQ23" i="3"/>
  <c r="AP23" i="3"/>
  <c r="DL23" i="3"/>
  <c r="DN23" i="3"/>
  <c r="AR23" i="3"/>
  <c r="BY23" i="3"/>
  <c r="BJ23" i="3"/>
  <c r="BT23" i="3"/>
  <c r="CG23" i="3"/>
  <c r="CY23" i="3"/>
  <c r="DI23" i="3"/>
  <c r="DN32" i="3"/>
  <c r="EH32" i="3"/>
  <c r="DX32" i="3"/>
  <c r="DI32" i="3"/>
  <c r="EE32" i="3"/>
  <c r="DT32" i="3"/>
  <c r="EF32" i="3"/>
  <c r="EI32" i="3"/>
  <c r="BI10" i="3"/>
  <c r="BJ10" i="3"/>
  <c r="BK10" i="3"/>
  <c r="BL10" i="3"/>
  <c r="BM10" i="3"/>
  <c r="BN10" i="3"/>
  <c r="BR10" i="3"/>
  <c r="BS10" i="3"/>
  <c r="BU10" i="3"/>
  <c r="BV10" i="3"/>
  <c r="BW10" i="3"/>
  <c r="BX10" i="3"/>
  <c r="BY10" i="3"/>
  <c r="BZ10" i="3"/>
  <c r="CD10" i="3"/>
  <c r="CE10" i="3"/>
  <c r="CG10" i="3"/>
  <c r="CH10" i="3"/>
  <c r="CI10" i="3"/>
  <c r="CJ10" i="3"/>
  <c r="CK10" i="3"/>
  <c r="CL10" i="3"/>
  <c r="CP10" i="3"/>
  <c r="CQ10" i="3"/>
  <c r="CS10" i="3"/>
  <c r="CT10" i="3"/>
  <c r="CU10" i="3"/>
  <c r="CV10" i="3"/>
  <c r="CW10" i="3"/>
  <c r="CX10" i="3"/>
  <c r="DB10" i="3"/>
  <c r="DC10" i="3"/>
  <c r="DE10" i="3"/>
  <c r="DF10" i="3"/>
  <c r="DG10" i="3"/>
  <c r="DH10" i="3"/>
  <c r="DI10" i="3"/>
  <c r="DJ10" i="3"/>
  <c r="DN10" i="3"/>
  <c r="DO10" i="3"/>
  <c r="DQ10" i="3"/>
  <c r="DR10" i="3"/>
  <c r="DS10" i="3"/>
  <c r="DT10" i="3"/>
  <c r="DU10" i="3"/>
  <c r="DV10" i="3"/>
  <c r="DZ10" i="3"/>
  <c r="EA10" i="3"/>
  <c r="EC10" i="3"/>
  <c r="ED10" i="3"/>
  <c r="EE10" i="3"/>
  <c r="EF10" i="3"/>
  <c r="EG10" i="3"/>
  <c r="EH10" i="3"/>
  <c r="EL10" i="3"/>
  <c r="EM10" i="3"/>
  <c r="C57" i="5"/>
  <c r="C17" i="5"/>
  <c r="C19" i="5" s="1"/>
  <c r="D16" i="5" s="1"/>
  <c r="C58" i="5"/>
  <c r="C28" i="5"/>
  <c r="C30" i="5" s="1"/>
  <c r="D27" i="5" s="1"/>
  <c r="F31" i="4" l="1"/>
  <c r="G31" i="4"/>
  <c r="L31" i="4"/>
  <c r="J31" i="4"/>
  <c r="D31" i="4"/>
  <c r="EN10" i="3"/>
  <c r="EB10" i="3"/>
  <c r="DP10" i="3"/>
  <c r="DD10" i="3"/>
  <c r="CR10" i="3"/>
  <c r="CF10" i="3"/>
  <c r="BT10" i="3"/>
  <c r="BS61" i="3" s="1"/>
  <c r="DY10" i="3"/>
  <c r="DX61" i="3" s="1"/>
  <c r="DA10" i="3"/>
  <c r="CZ61" i="3" s="1"/>
  <c r="BQ10" i="3"/>
  <c r="BP61" i="3" s="1"/>
  <c r="EK10" i="3"/>
  <c r="EJ61" i="3" s="1"/>
  <c r="DM10" i="3"/>
  <c r="DL61" i="3" s="1"/>
  <c r="CO10" i="3"/>
  <c r="CC10" i="3"/>
  <c r="EJ10" i="3"/>
  <c r="DX10" i="3"/>
  <c r="DL10" i="3"/>
  <c r="DK61" i="3" s="1"/>
  <c r="CZ10" i="3"/>
  <c r="CY61" i="3" s="1"/>
  <c r="CN10" i="3"/>
  <c r="CM61" i="3" s="1"/>
  <c r="CB10" i="3"/>
  <c r="CA61" i="3" s="1"/>
  <c r="BP10" i="3"/>
  <c r="N31" i="4"/>
  <c r="EI10" i="3"/>
  <c r="EH61" i="3" s="1"/>
  <c r="DW10" i="3"/>
  <c r="DK10" i="3"/>
  <c r="CY10" i="3"/>
  <c r="CM10" i="3"/>
  <c r="CA10" i="3"/>
  <c r="BO10" i="3"/>
  <c r="BN61" i="3" s="1"/>
  <c r="Y61" i="3"/>
  <c r="Z61" i="3"/>
  <c r="AD61" i="3"/>
  <c r="AC61" i="3"/>
  <c r="AB61" i="3"/>
  <c r="X61" i="3"/>
  <c r="AH61" i="3"/>
  <c r="AA61" i="3"/>
  <c r="AF61" i="3"/>
  <c r="EM61" i="3"/>
  <c r="AE61" i="3"/>
  <c r="BA61" i="3"/>
  <c r="CI61" i="3"/>
  <c r="DT61" i="3"/>
  <c r="BI61" i="3"/>
  <c r="DG61" i="3"/>
  <c r="CN61" i="3"/>
  <c r="AM61" i="3"/>
  <c r="BC61" i="3"/>
  <c r="AV61" i="3"/>
  <c r="DJ61" i="3"/>
  <c r="CX61" i="3"/>
  <c r="CL61" i="3"/>
  <c r="BZ61" i="3"/>
  <c r="AW61" i="3"/>
  <c r="CB61" i="3"/>
  <c r="DS61" i="3"/>
  <c r="DI61" i="3"/>
  <c r="BY61" i="3"/>
  <c r="BM61" i="3"/>
  <c r="AN61" i="3"/>
  <c r="CJ61" i="3"/>
  <c r="AU61" i="3"/>
  <c r="AR61" i="3"/>
  <c r="CU61" i="3"/>
  <c r="CT61" i="3"/>
  <c r="BV61" i="3"/>
  <c r="AI61" i="3"/>
  <c r="BG61" i="3"/>
  <c r="AS61" i="3"/>
  <c r="AT61" i="3"/>
  <c r="AJ61" i="3"/>
  <c r="DP61" i="3"/>
  <c r="AP61" i="3"/>
  <c r="AG61" i="3"/>
  <c r="DQ61" i="3"/>
  <c r="CD61" i="3"/>
  <c r="BU61" i="3"/>
  <c r="EI61" i="3"/>
  <c r="AO61" i="3"/>
  <c r="AY61" i="3"/>
  <c r="AK61" i="3"/>
  <c r="DW61" i="3"/>
  <c r="CW61" i="3"/>
  <c r="BO61" i="3"/>
  <c r="BD61" i="3"/>
  <c r="BF61" i="3"/>
  <c r="DR61" i="3"/>
  <c r="BJ61" i="3"/>
  <c r="CK61" i="3"/>
  <c r="CH61" i="3"/>
  <c r="DU61" i="3"/>
  <c r="CR61" i="3"/>
  <c r="CF61" i="3"/>
  <c r="BT61" i="3"/>
  <c r="BB61" i="3"/>
  <c r="AL61" i="3"/>
  <c r="AX61" i="3"/>
  <c r="ED61" i="3"/>
  <c r="AZ61" i="3"/>
  <c r="EG61" i="3"/>
  <c r="EA61" i="3"/>
  <c r="CE61" i="3"/>
  <c r="DZ61" i="3"/>
  <c r="DV61" i="3"/>
  <c r="DF61" i="3"/>
  <c r="DO61" i="3"/>
  <c r="DC61" i="3"/>
  <c r="EL61" i="3"/>
  <c r="DN61" i="3"/>
  <c r="BR61" i="3"/>
  <c r="BE61" i="3"/>
  <c r="EK61" i="3"/>
  <c r="DY61" i="3"/>
  <c r="DM61" i="3"/>
  <c r="DA61" i="3"/>
  <c r="CO61" i="3"/>
  <c r="CC61" i="3"/>
  <c r="BQ61" i="3"/>
  <c r="AQ61" i="3"/>
  <c r="CS61" i="3"/>
  <c r="CG61" i="3"/>
  <c r="BL61" i="3"/>
  <c r="DH61" i="3"/>
  <c r="CV61" i="3"/>
  <c r="EC61" i="3"/>
  <c r="EF61" i="3"/>
  <c r="BX61" i="3"/>
  <c r="DE61" i="3"/>
  <c r="BK61" i="3"/>
  <c r="EE61" i="3"/>
  <c r="DB61" i="3"/>
  <c r="CQ61" i="3"/>
  <c r="DD61" i="3"/>
  <c r="BW61" i="3"/>
  <c r="CP61" i="3"/>
  <c r="BH61" i="3"/>
  <c r="EB61" i="3"/>
  <c r="D33" i="5"/>
  <c r="D22" i="5"/>
  <c r="D6" i="4" l="1"/>
  <c r="D9" i="4" s="1"/>
  <c r="D13" i="4" s="1"/>
  <c r="D14" i="4" s="1"/>
  <c r="D15" i="4" s="1"/>
  <c r="D22" i="4" s="1"/>
  <c r="D25" i="4" s="1"/>
  <c r="F6" i="4"/>
  <c r="F9" i="4" s="1"/>
  <c r="F13" i="4" s="1"/>
  <c r="F14" i="4" s="1"/>
  <c r="F15" i="4" s="1"/>
  <c r="F22" i="4" s="1"/>
  <c r="F25" i="4" s="1"/>
  <c r="E6" i="4"/>
  <c r="E9" i="4" s="1"/>
  <c r="E13" i="4" s="1"/>
  <c r="E14" i="4" s="1"/>
  <c r="E15" i="4" s="1"/>
  <c r="E22" i="4" s="1"/>
  <c r="E25" i="4" s="1"/>
  <c r="L6" i="4"/>
  <c r="L9" i="4" s="1"/>
  <c r="L13" i="4" s="1"/>
  <c r="L14" i="4" s="1"/>
  <c r="L15" i="4" s="1"/>
  <c r="L22" i="4" s="1"/>
  <c r="L25" i="4" s="1"/>
  <c r="M6" i="4"/>
  <c r="M9" i="4" s="1"/>
  <c r="M13" i="4" s="1"/>
  <c r="M14" i="4" s="1"/>
  <c r="M15" i="4" s="1"/>
  <c r="J6" i="4"/>
  <c r="J9" i="4" s="1"/>
  <c r="J13" i="4" s="1"/>
  <c r="J14" i="4" s="1"/>
  <c r="J15" i="4" s="1"/>
  <c r="J22" i="4" s="1"/>
  <c r="J25" i="4" s="1"/>
  <c r="H6" i="4"/>
  <c r="H9" i="4" s="1"/>
  <c r="H13" i="4" s="1"/>
  <c r="H14" i="4" s="1"/>
  <c r="H15" i="4" s="1"/>
  <c r="H22" i="4" s="1"/>
  <c r="H25" i="4" s="1"/>
  <c r="I6" i="4"/>
  <c r="I9" i="4" s="1"/>
  <c r="I13" i="4" s="1"/>
  <c r="I14" i="4" s="1"/>
  <c r="I15" i="4" s="1"/>
  <c r="I22" i="4" s="1"/>
  <c r="I25" i="4" s="1"/>
  <c r="G6" i="4"/>
  <c r="G9" i="4" s="1"/>
  <c r="G13" i="4" s="1"/>
  <c r="G14" i="4" s="1"/>
  <c r="G15" i="4" s="1"/>
  <c r="G22" i="4" s="1"/>
  <c r="G25" i="4" s="1"/>
  <c r="K6" i="4"/>
  <c r="K9" i="4" s="1"/>
  <c r="K13" i="4" s="1"/>
  <c r="K14" i="4" s="1"/>
  <c r="K15" i="4" s="1"/>
  <c r="K22" i="4" s="1"/>
  <c r="K25" i="4" s="1"/>
  <c r="N6" i="4" l="1"/>
  <c r="N9" i="4" s="1"/>
  <c r="N13" i="4" s="1"/>
  <c r="N14" i="4" s="1"/>
  <c r="N15" i="4" s="1"/>
  <c r="N22" i="4" s="1"/>
  <c r="N25" i="4" s="1"/>
  <c r="G33" i="4"/>
  <c r="C39" i="1"/>
  <c r="H33" i="4"/>
  <c r="C40" i="1"/>
  <c r="I33" i="4"/>
  <c r="C41" i="1"/>
  <c r="J33" i="4"/>
  <c r="C42" i="1"/>
  <c r="K33" i="4"/>
  <c r="C43" i="1"/>
  <c r="L33" i="4"/>
  <c r="C44" i="1"/>
  <c r="M22" i="4"/>
  <c r="M25" i="4" s="1"/>
  <c r="C36" i="1"/>
  <c r="F28" i="1"/>
  <c r="C28" i="1"/>
  <c r="E33" i="4"/>
  <c r="C37" i="1"/>
  <c r="F33" i="4"/>
  <c r="C38" i="1"/>
  <c r="F50" i="4" l="1"/>
  <c r="F40" i="4"/>
  <c r="E38" i="1"/>
  <c r="E50" i="4"/>
  <c r="E40" i="4"/>
  <c r="E37" i="1"/>
  <c r="D50" i="4"/>
  <c r="D40" i="4"/>
  <c r="E36" i="1"/>
  <c r="M43" i="4"/>
  <c r="N33" i="4"/>
  <c r="C30" i="1"/>
  <c r="M33" i="4"/>
  <c r="C45" i="1"/>
  <c r="C31" i="1"/>
  <c r="C29" i="1"/>
  <c r="L50" i="4"/>
  <c r="L40" i="4"/>
  <c r="E44" i="1"/>
  <c r="K50" i="4"/>
  <c r="K40" i="4"/>
  <c r="E43" i="1"/>
  <c r="J50" i="4"/>
  <c r="J40" i="4"/>
  <c r="E42" i="1"/>
  <c r="I50" i="4"/>
  <c r="I40" i="4"/>
  <c r="E41" i="1"/>
  <c r="H50" i="4"/>
  <c r="H40" i="4"/>
  <c r="E40" i="1"/>
  <c r="G50" i="4"/>
  <c r="G40" i="4"/>
  <c r="E39" i="1"/>
  <c r="G11" i="5" l="1"/>
  <c r="G13" i="5" s="1"/>
  <c r="G51" i="4"/>
  <c r="F39" i="1"/>
  <c r="H11" i="5"/>
  <c r="H13" i="5" s="1"/>
  <c r="H51" i="4"/>
  <c r="F40" i="1"/>
  <c r="I11" i="5"/>
  <c r="I13" i="5" s="1"/>
  <c r="I51" i="4"/>
  <c r="F41" i="1"/>
  <c r="J11" i="5"/>
  <c r="J13" i="5" s="1"/>
  <c r="J51" i="4"/>
  <c r="F42" i="1"/>
  <c r="K11" i="5"/>
  <c r="K13" i="5" s="1"/>
  <c r="K51" i="4"/>
  <c r="F43" i="1"/>
  <c r="L11" i="5"/>
  <c r="L13" i="5" s="1"/>
  <c r="L51" i="4"/>
  <c r="F44" i="1"/>
  <c r="M40" i="4"/>
  <c r="E45" i="1"/>
  <c r="M44" i="4"/>
  <c r="M45" i="4" s="1"/>
  <c r="F30" i="1"/>
  <c r="D11" i="5"/>
  <c r="D13" i="5" s="1"/>
  <c r="D51" i="4"/>
  <c r="F36" i="1"/>
  <c r="E11" i="5"/>
  <c r="E13" i="5" s="1"/>
  <c r="E51" i="4"/>
  <c r="F37" i="1"/>
  <c r="F11" i="5"/>
  <c r="F13" i="5" s="1"/>
  <c r="F51" i="4"/>
  <c r="F38" i="1"/>
  <c r="D38" i="5" l="1"/>
  <c r="M47" i="4"/>
  <c r="M12" i="5" s="1"/>
  <c r="F31" i="1"/>
  <c r="M50" i="4"/>
  <c r="C17" i="1" s="1"/>
  <c r="M11" i="5"/>
  <c r="F45" i="1"/>
  <c r="M13" i="5" l="1"/>
  <c r="M51" i="4"/>
  <c r="F17" i="1" s="1"/>
  <c r="C18" i="1"/>
  <c r="D39" i="5"/>
  <c r="D41" i="5"/>
  <c r="F18" i="1" l="1"/>
  <c r="D43" i="5"/>
  <c r="D23" i="5"/>
  <c r="D24" i="5" s="1"/>
  <c r="E21" i="5" s="1"/>
  <c r="D40" i="5"/>
  <c r="D34" i="5" l="1"/>
  <c r="D35" i="5" s="1"/>
  <c r="E32" i="5" s="1"/>
  <c r="D44" i="5"/>
  <c r="D46" i="5"/>
  <c r="D48" i="5" s="1"/>
  <c r="D50" i="5" l="1"/>
  <c r="D49" i="5"/>
  <c r="D53" i="5" s="1"/>
  <c r="D18" i="5"/>
  <c r="D19" i="5" s="1"/>
  <c r="E16" i="5" s="1"/>
  <c r="D45" i="5"/>
  <c r="D29" i="5" l="1"/>
  <c r="D30" i="5" s="1"/>
  <c r="E27" i="5" s="1"/>
  <c r="D54" i="5"/>
  <c r="D57" i="5"/>
  <c r="E22" i="5"/>
  <c r="D58" i="5" l="1"/>
  <c r="E33" i="5"/>
  <c r="E38" i="5" l="1"/>
  <c r="E39" i="5" l="1"/>
  <c r="E41" i="5"/>
  <c r="E43" i="5" l="1"/>
  <c r="E23" i="5"/>
  <c r="E24" i="5" s="1"/>
  <c r="F21" i="5" s="1"/>
  <c r="E40" i="5"/>
  <c r="E34" i="5" l="1"/>
  <c r="E35" i="5" s="1"/>
  <c r="F32" i="5" s="1"/>
  <c r="E44" i="5"/>
  <c r="E46" i="5"/>
  <c r="E48" i="5" s="1"/>
  <c r="E50" i="5" l="1"/>
  <c r="E49" i="5"/>
  <c r="E53" i="5" s="1"/>
  <c r="E18" i="5"/>
  <c r="E19" i="5" s="1"/>
  <c r="F16" i="5" s="1"/>
  <c r="E45" i="5"/>
  <c r="E29" i="5" l="1"/>
  <c r="E30" i="5" s="1"/>
  <c r="F27" i="5" s="1"/>
  <c r="E54" i="5"/>
  <c r="E57" i="5"/>
  <c r="F22" i="5"/>
  <c r="E58" i="5" l="1"/>
  <c r="F33" i="5"/>
  <c r="F38" i="5" l="1"/>
  <c r="F39" i="5" l="1"/>
  <c r="F41" i="5"/>
  <c r="F43" i="5" l="1"/>
  <c r="F23" i="5"/>
  <c r="F24" i="5" s="1"/>
  <c r="G21" i="5" s="1"/>
  <c r="F40" i="5"/>
  <c r="F34" i="5" l="1"/>
  <c r="F35" i="5" s="1"/>
  <c r="G32" i="5" s="1"/>
  <c r="F44" i="5"/>
  <c r="F46" i="5"/>
  <c r="F48" i="5" s="1"/>
  <c r="F50" i="5" l="1"/>
  <c r="F49" i="5"/>
  <c r="F53" i="5" s="1"/>
  <c r="F18" i="5"/>
  <c r="F19" i="5" s="1"/>
  <c r="G16" i="5" s="1"/>
  <c r="F45" i="5"/>
  <c r="F29" i="5" l="1"/>
  <c r="F30" i="5" s="1"/>
  <c r="G27" i="5" s="1"/>
  <c r="F54" i="5"/>
  <c r="F57" i="5"/>
  <c r="G22" i="5"/>
  <c r="F58" i="5" l="1"/>
  <c r="G33" i="5"/>
  <c r="G38" i="5" l="1"/>
  <c r="G39" i="5" l="1"/>
  <c r="G41" i="5"/>
  <c r="G43" i="5" l="1"/>
  <c r="G23" i="5"/>
  <c r="G24" i="5" s="1"/>
  <c r="H21" i="5" s="1"/>
  <c r="G40" i="5"/>
  <c r="G34" i="5" l="1"/>
  <c r="G35" i="5" s="1"/>
  <c r="H32" i="5" s="1"/>
  <c r="G44" i="5"/>
  <c r="G46" i="5"/>
  <c r="G48" i="5" s="1"/>
  <c r="G50" i="5" l="1"/>
  <c r="G49" i="5"/>
  <c r="G53" i="5" s="1"/>
  <c r="G18" i="5"/>
  <c r="G19" i="5" s="1"/>
  <c r="H16" i="5" s="1"/>
  <c r="G45" i="5"/>
  <c r="G29" i="5" l="1"/>
  <c r="G30" i="5" s="1"/>
  <c r="H27" i="5" s="1"/>
  <c r="G54" i="5"/>
  <c r="G57" i="5"/>
  <c r="H22" i="5"/>
  <c r="G58" i="5" l="1"/>
  <c r="H33" i="5"/>
  <c r="H38" i="5" l="1"/>
  <c r="H39" i="5" l="1"/>
  <c r="H41" i="5"/>
  <c r="H43" i="5" l="1"/>
  <c r="H23" i="5"/>
  <c r="H24" i="5" s="1"/>
  <c r="I21" i="5" s="1"/>
  <c r="H40" i="5"/>
  <c r="H34" i="5" l="1"/>
  <c r="H35" i="5" s="1"/>
  <c r="I32" i="5" s="1"/>
  <c r="H44" i="5"/>
  <c r="H46" i="5"/>
  <c r="H48" i="5" s="1"/>
  <c r="H50" i="5" l="1"/>
  <c r="H49" i="5"/>
  <c r="H53" i="5" s="1"/>
  <c r="H18" i="5"/>
  <c r="H19" i="5" s="1"/>
  <c r="I16" i="5" s="1"/>
  <c r="H45" i="5"/>
  <c r="H29" i="5" l="1"/>
  <c r="H30" i="5" s="1"/>
  <c r="I27" i="5" s="1"/>
  <c r="H54" i="5"/>
  <c r="H57" i="5"/>
  <c r="I22" i="5"/>
  <c r="H58" i="5" l="1"/>
  <c r="I33" i="5"/>
  <c r="I38" i="5" l="1"/>
  <c r="I39" i="5" l="1"/>
  <c r="I41" i="5"/>
  <c r="I43" i="5" l="1"/>
  <c r="I23" i="5"/>
  <c r="I24" i="5" s="1"/>
  <c r="J21" i="5" s="1"/>
  <c r="I40" i="5"/>
  <c r="I34" i="5" l="1"/>
  <c r="I35" i="5" s="1"/>
  <c r="J32" i="5" s="1"/>
  <c r="I44" i="5"/>
  <c r="I46" i="5"/>
  <c r="I48" i="5" s="1"/>
  <c r="I50" i="5" l="1"/>
  <c r="I49" i="5"/>
  <c r="I53" i="5" s="1"/>
  <c r="I18" i="5"/>
  <c r="I19" i="5" s="1"/>
  <c r="J16" i="5" s="1"/>
  <c r="I45" i="5"/>
  <c r="I29" i="5" l="1"/>
  <c r="I30" i="5" s="1"/>
  <c r="J27" i="5" s="1"/>
  <c r="I54" i="5"/>
  <c r="I57" i="5"/>
  <c r="J22" i="5"/>
  <c r="I58" i="5" l="1"/>
  <c r="J33" i="5"/>
  <c r="J38" i="5" l="1"/>
  <c r="J39" i="5" l="1"/>
  <c r="J41" i="5"/>
  <c r="J43" i="5" l="1"/>
  <c r="J23" i="5"/>
  <c r="J24" i="5" s="1"/>
  <c r="K21" i="5" s="1"/>
  <c r="J40" i="5"/>
  <c r="J34" i="5" l="1"/>
  <c r="J35" i="5" s="1"/>
  <c r="K32" i="5" s="1"/>
  <c r="J44" i="5"/>
  <c r="J46" i="5"/>
  <c r="J48" i="5" s="1"/>
  <c r="J50" i="5" l="1"/>
  <c r="J49" i="5"/>
  <c r="J53" i="5" s="1"/>
  <c r="J18" i="5"/>
  <c r="J19" i="5" s="1"/>
  <c r="K16" i="5" s="1"/>
  <c r="J45" i="5"/>
  <c r="J29" i="5" l="1"/>
  <c r="J30" i="5" s="1"/>
  <c r="K27" i="5" s="1"/>
  <c r="J54" i="5"/>
  <c r="J57" i="5"/>
  <c r="K22" i="5"/>
  <c r="J58" i="5" l="1"/>
  <c r="K33" i="5"/>
  <c r="K38" i="5" l="1"/>
  <c r="K39" i="5" l="1"/>
  <c r="K41" i="5"/>
  <c r="K43" i="5" l="1"/>
  <c r="K23" i="5"/>
  <c r="K24" i="5" s="1"/>
  <c r="L21" i="5" s="1"/>
  <c r="K40" i="5"/>
  <c r="K34" i="5" l="1"/>
  <c r="K35" i="5" s="1"/>
  <c r="L32" i="5" s="1"/>
  <c r="K44" i="5"/>
  <c r="K46" i="5"/>
  <c r="K48" i="5" s="1"/>
  <c r="K50" i="5" l="1"/>
  <c r="K49" i="5"/>
  <c r="K53" i="5" s="1"/>
  <c r="K18" i="5"/>
  <c r="K19" i="5" s="1"/>
  <c r="L16" i="5" s="1"/>
  <c r="K45" i="5"/>
  <c r="K29" i="5" l="1"/>
  <c r="K30" i="5" s="1"/>
  <c r="L27" i="5" s="1"/>
  <c r="K54" i="5"/>
  <c r="K57" i="5"/>
  <c r="L22" i="5"/>
  <c r="K58" i="5" l="1"/>
  <c r="L33" i="5"/>
  <c r="L38" i="5" l="1"/>
  <c r="L39" i="5" l="1"/>
  <c r="L41" i="5"/>
  <c r="L43" i="5" l="1"/>
  <c r="L23" i="5"/>
  <c r="L24" i="5" s="1"/>
  <c r="M21" i="5" s="1"/>
  <c r="L40" i="5"/>
  <c r="L34" i="5" l="1"/>
  <c r="L35" i="5" s="1"/>
  <c r="M32" i="5" s="1"/>
  <c r="L44" i="5"/>
  <c r="L46" i="5"/>
  <c r="L48" i="5" s="1"/>
  <c r="L50" i="5" l="1"/>
  <c r="L49" i="5"/>
  <c r="L53" i="5" s="1"/>
  <c r="L18" i="5"/>
  <c r="L19" i="5" s="1"/>
  <c r="M16" i="5" s="1"/>
  <c r="L45" i="5"/>
  <c r="L29" i="5" l="1"/>
  <c r="L30" i="5" s="1"/>
  <c r="M27" i="5" s="1"/>
  <c r="L54" i="5"/>
  <c r="L57" i="5"/>
  <c r="M22" i="5"/>
  <c r="L58" i="5" l="1"/>
  <c r="M33" i="5"/>
  <c r="M38" i="5" l="1"/>
  <c r="M39" i="5" l="1"/>
  <c r="M41" i="5"/>
  <c r="M43" i="5" l="1"/>
  <c r="M23" i="5"/>
  <c r="M24" i="5" s="1"/>
  <c r="M40" i="5"/>
  <c r="M34" i="5" l="1"/>
  <c r="M35" i="5" s="1"/>
  <c r="M44" i="5"/>
  <c r="M46" i="5"/>
  <c r="M48" i="5" s="1"/>
  <c r="M50" i="5" l="1"/>
  <c r="C65" i="5" s="1"/>
  <c r="C24" i="1" s="1"/>
  <c r="M49" i="5"/>
  <c r="M53" i="5" s="1"/>
  <c r="M18" i="5"/>
  <c r="M19" i="5" s="1"/>
  <c r="M45" i="5"/>
  <c r="M29" i="5" l="1"/>
  <c r="M30" i="5" s="1"/>
  <c r="M54" i="5"/>
  <c r="M57" i="5"/>
  <c r="N53" i="5"/>
  <c r="C62" i="5" l="1"/>
  <c r="C23" i="1" s="1"/>
  <c r="C61" i="5"/>
  <c r="C22" i="1" s="1"/>
  <c r="M58" i="5"/>
  <c r="N54" i="5"/>
  <c r="C64" i="5" l="1"/>
  <c r="F23" i="1" s="1"/>
  <c r="C63" i="5"/>
  <c r="F22" i="1" s="1"/>
  <c r="C13" i="1" l="1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6" authorId="0" shapeId="0" xr:uid="{00000000-0006-0000-0100-000001000000}">
      <text>
        <r>
          <rPr>
            <sz val="10"/>
            <rFont val="Arial"/>
            <family val="2"/>
          </rPr>
          <t>First day of Month 1 / Year 1. All lease timing is measured from this date.</t>
        </r>
      </text>
    </comment>
    <comment ref="C18" authorId="0" shapeId="0" xr:uid="{00000000-0006-0000-0100-000002000000}">
      <text>
        <r>
          <rPr>
            <sz val="10"/>
            <rFont val="Arial"/>
            <family val="2"/>
          </rPr>
          <t>Not typically in the OM — set by deal team based on pricing guidance &amp; underwritten value.</t>
        </r>
      </text>
    </comment>
    <comment ref="C34" authorId="0" shapeId="0" xr:uid="{00000000-0006-0000-0100-000003000000}">
      <text>
        <r>
          <rPr>
            <sz val="10"/>
            <rFont val="Arial"/>
            <family val="2"/>
          </rPr>
          <t>Applied to Year 11 NOI for reversion valuation.</t>
        </r>
      </text>
    </comment>
    <comment ref="C55" authorId="0" shapeId="0" xr:uid="{00000000-0006-0000-0100-000004000000}">
      <text>
        <r>
          <rPr>
            <sz val="10"/>
            <rFont val="Arial"/>
            <family val="2"/>
          </rPr>
          <t>For reference — model uses explicit Renew/Vacate flag per tenant. Can be used for probability-weighted scenarios in v2.</t>
        </r>
      </text>
    </comment>
    <comment ref="C56" authorId="0" shapeId="0" xr:uid="{00000000-0006-0000-0100-000005000000}">
      <text>
        <r>
          <rPr>
            <sz val="10"/>
            <rFont val="Arial"/>
            <family val="2"/>
          </rPr>
          <t>Assumed new/renewal lease term. Used for LC calculation.</t>
        </r>
      </text>
    </comment>
    <comment ref="C65" authorId="0" shapeId="0" xr:uid="{00000000-0006-0000-0100-000006000000}">
      <text>
        <r>
          <rPr>
            <sz val="10"/>
            <rFont val="Arial"/>
            <family val="2"/>
          </rPr>
          <t>Applied on top of absorption/turnover vacancy from rent roll.</t>
        </r>
      </text>
    </comment>
    <comment ref="C66" authorId="0" shapeId="0" xr:uid="{00000000-0006-0000-0100-000007000000}">
      <text>
        <r>
          <rPr>
            <sz val="10"/>
            <rFont val="Arial"/>
            <family val="2"/>
          </rPr>
          <t>True NNN — tenants reimburse 100% of CAM, Insurance, and RE Taxes (not management fee).</t>
        </r>
      </text>
    </comment>
    <comment ref="C73" authorId="0" shapeId="0" xr:uid="{00000000-0006-0000-0100-000008000000}">
      <text>
        <r>
          <rPr>
            <sz val="10"/>
            <rFont val="Arial"/>
            <family val="2"/>
          </rPr>
          <t>Annual preferred return rate. Applied pari passu to both LP and GP capital (non-compounding).</t>
        </r>
      </text>
    </comment>
    <comment ref="C75" authorId="0" shapeId="0" xr:uid="{00000000-0006-0000-0100-000009000000}">
      <text>
        <r>
          <rPr>
            <sz val="10"/>
            <rFont val="Arial"/>
            <family val="2"/>
          </rPr>
          <t>GP carried interest above pref and return of capital.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<sst xmlns="http://schemas.openxmlformats.org/spreadsheetml/2006/main" count="549" uniqueCount="429">
  <si>
    <t>DEAL SUMMARY &amp; RETURNS</t>
  </si>
  <si>
    <t>One-page dashboard pulling from all other tabs</t>
  </si>
  <si>
    <t xml:space="preserve">  PROPERTY</t>
  </si>
  <si>
    <t xml:space="preserve">  DEAL TERMS</t>
  </si>
  <si>
    <t>Property Name</t>
  </si>
  <si>
    <t>Analysis Start</t>
  </si>
  <si>
    <t>Address</t>
  </si>
  <si>
    <t>Hold Period</t>
  </si>
  <si>
    <t>City, State, Zip</t>
  </si>
  <si>
    <t>Purchase Price</t>
  </si>
  <si>
    <t>Submarket</t>
  </si>
  <si>
    <t>Purchase Price PSF</t>
  </si>
  <si>
    <t>Total SF</t>
  </si>
  <si>
    <t>Total Acquisition Cost</t>
  </si>
  <si>
    <t>Year Built</t>
  </si>
  <si>
    <t>Loan Amount</t>
  </si>
  <si>
    <t>WALT (Occupied)</t>
  </si>
  <si>
    <t>LTV</t>
  </si>
  <si>
    <t>Occupancy</t>
  </si>
  <si>
    <t>Total Equity</t>
  </si>
  <si>
    <t xml:space="preserve">  PROPERTY-LEVEL RETURNS</t>
  </si>
  <si>
    <t>Unlevered IRR</t>
  </si>
  <si>
    <t>Levered IRR</t>
  </si>
  <si>
    <t>Unlevered Equity Multiple</t>
  </si>
  <si>
    <t>Levered Equity Multiple</t>
  </si>
  <si>
    <t xml:space="preserve">  LP / GP RETURNS (After Waterfall)</t>
  </si>
  <si>
    <t>LP IRR</t>
  </si>
  <si>
    <t>GP IRR (All GP Capital)</t>
  </si>
  <si>
    <t>LP Equity Multiple</t>
  </si>
  <si>
    <t>GP Equity Multiple</t>
  </si>
  <si>
    <t>GP Promote $ Earned</t>
  </si>
  <si>
    <t xml:space="preserve">  VALUATION METRICS</t>
  </si>
  <si>
    <t>Year 1 NOI</t>
  </si>
  <si>
    <t>Going-In Cap Rate</t>
  </si>
  <si>
    <t>Year 10 NOI</t>
  </si>
  <si>
    <t>Exit Cap Rate</t>
  </si>
  <si>
    <t>Terminal NOI (Y11)</t>
  </si>
  <si>
    <t>Gross Sale Price (Y10)</t>
  </si>
  <si>
    <t>NOI Growth Y1→Y10</t>
  </si>
  <si>
    <t>Net Sale Proceeds</t>
  </si>
  <si>
    <t xml:space="preserve">  ANNUAL CASH FLOW SNAPSHOT</t>
  </si>
  <si>
    <t>Year</t>
  </si>
  <si>
    <t>NOI</t>
  </si>
  <si>
    <t>Unlev. Op CF</t>
  </si>
  <si>
    <t>Levered CoC</t>
  </si>
  <si>
    <t>INDUSTRIAL UNDERWRITING MODEL — DEAL ASSUMPTIONS</t>
  </si>
  <si>
    <t>Blue = user inputs  |  Black = formulas  |  Green = cross-sheet links  |  Yellow = key sensitivities</t>
  </si>
  <si>
    <t xml:space="preserve">  PROPERTY INFORMATION</t>
  </si>
  <si>
    <t>Space Park South (Example)</t>
  </si>
  <si>
    <t>201 Space Park S. Dr.</t>
  </si>
  <si>
    <t>Nashville, TN 37211</t>
  </si>
  <si>
    <t>Interchange City / Southeast</t>
  </si>
  <si>
    <t>Total Rentable SF</t>
  </si>
  <si>
    <t>Number of Buildings</t>
  </si>
  <si>
    <t>Land Area (Acres)</t>
  </si>
  <si>
    <t xml:space="preserve">  ACQUISITION</t>
  </si>
  <si>
    <t>Analysis Start Date</t>
  </si>
  <si>
    <t>Hold Period (Years)</t>
  </si>
  <si>
    <t>Closing Costs (% of Price)</t>
  </si>
  <si>
    <t xml:space="preserve">  DEBT TERMS</t>
  </si>
  <si>
    <t>Interest Rate</t>
  </si>
  <si>
    <t>Amortization (Years)</t>
  </si>
  <si>
    <t>Interest-Only Period (Years)</t>
  </si>
  <si>
    <t>Loan Fee (% of Loan)</t>
  </si>
  <si>
    <t>Annual Debt Service (IO)</t>
  </si>
  <si>
    <t>Annual Debt Service (Amortizing)</t>
  </si>
  <si>
    <t xml:space="preserve">  EXIT ASSUMPTIONS</t>
  </si>
  <si>
    <t>Selling Costs (% of Sale Price)</t>
  </si>
  <si>
    <t xml:space="preserve">  MARKET RENT SCHEDULE</t>
  </si>
  <si>
    <t>Market Rent at Analysis Start ($/SF, NNN, Year 1)</t>
  </si>
  <si>
    <t>YoY Market Rent Growth — applied at start of each year:</t>
  </si>
  <si>
    <t>Y1→Y2</t>
  </si>
  <si>
    <t>Y2→Y3</t>
  </si>
  <si>
    <t>Y3→Y4</t>
  </si>
  <si>
    <t>Y4→Y5</t>
  </si>
  <si>
    <t>Y5→Y6</t>
  </si>
  <si>
    <t>Y6→Y7</t>
  </si>
  <si>
    <t>Y7→Y8</t>
  </si>
  <si>
    <t>Y8→Y9</t>
  </si>
  <si>
    <t>Y9→Y10</t>
  </si>
  <si>
    <t>Y10→Y11</t>
  </si>
  <si>
    <t>Market Rent $/SF — by year (calc):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</si>
  <si>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</si>
  <si>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</si>
  <si>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</si>
  <si>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</si>
  <si>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</si>
  <si>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</si>
  <si>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</si>
  <si>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</si>
  <si>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</si>
  <si>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</si>
  <si>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 xml:space="preserve">  LEASING ASSUMPTIONS (Second-Generation)</t>
  </si>
  <si>
    <t>Tenant Improvements — New ($/SF)</t>
  </si>
  <si>
    <t>Tenant Improvements — Renewal ($/SF)</t>
  </si>
  <si>
    <t>Leasing Commission — New (% of total lease)</t>
  </si>
  <si>
    <t>Leasing Commission — Renewal (% of total lease)</t>
  </si>
  <si>
    <t>Free Rent — New Lease (Months)</t>
  </si>
  <si>
    <t>Free Rent — Renewal (Months)</t>
  </si>
  <si>
    <t>Downtime — New Tenant (Months)</t>
  </si>
  <si>
    <t>Retention Ratio (reference)</t>
  </si>
  <si>
    <t>New Lease Term (Years)</t>
  </si>
  <si>
    <t xml:space="preserve">  OPERATING EXPENSES &amp; VACANCY</t>
  </si>
  <si>
    <t>CAM ($/SF, Year 1)</t>
  </si>
  <si>
    <t>Insurance ($/SF, Year 1)</t>
  </si>
  <si>
    <t>Real Estate Taxes ($/SF, Year 1)</t>
  </si>
  <si>
    <t>Management Fee (% of EGR)</t>
  </si>
  <si>
    <t>Expense Growth Rate</t>
  </si>
  <si>
    <t>General Vacancy (% of Gross Revenue)</t>
  </si>
  <si>
    <t>Expense Recovery %</t>
  </si>
  <si>
    <t>Capital Reserves ($/SF/Year)</t>
  </si>
  <si>
    <t xml:space="preserve">  WATERFALL — AMERICAN, PARI PASSU PREF</t>
  </si>
  <si>
    <t>LP Equity Contribution %</t>
  </si>
  <si>
    <t>GP Equity Contribution %</t>
  </si>
  <si>
    <t>Total (check = 100%)</t>
  </si>
  <si>
    <t>Preferred Return Rate</t>
  </si>
  <si>
    <t>Promote Split — LP %</t>
  </si>
  <si>
    <t>Promote Split — GP %</t>
  </si>
  <si>
    <t>RENT ROLL — MONTHLY TENANT BUILD</t>
  </si>
  <si>
    <t>Each tenant row projects monthly rent contribution over 120 months.  Columns N-V are calculated helper fields.</t>
  </si>
  <si>
    <t>Month #</t>
  </si>
  <si>
    <t>Year #</t>
  </si>
  <si>
    <t>Market Rent $/SF (annualized)</t>
  </si>
  <si>
    <t>Suite</t>
  </si>
  <si>
    <t>Tenant Name</t>
  </si>
  <si>
    <t>SF</t>
  </si>
  <si>
    <t>% of Prop</t>
  </si>
  <si>
    <t>Lease Start</t>
  </si>
  <si>
    <t>Lease End</t>
  </si>
  <si>
    <t>Rent PSF</t>
  </si>
  <si>
    <t>Annual Rent</t>
  </si>
  <si>
    <t>Esc %</t>
  </si>
  <si>
    <t>Recovery</t>
  </si>
  <si>
    <t>Mkt $/SF</t>
  </si>
  <si>
    <t>Action</t>
  </si>
  <si>
    <t>Lease
Start Mo</t>
  </si>
  <si>
    <t>Lease
End Mo</t>
  </si>
  <si>
    <t>Rollover
Month</t>
  </si>
  <si>
    <t>Downtime
Mo</t>
  </si>
  <si>
    <t>Re-Lease
Start Mo</t>
  </si>
  <si>
    <t>Free Rent
Mo</t>
  </si>
  <si>
    <t>Rent-Pay
Start Mo</t>
  </si>
  <si>
    <t>Release
Year</t>
  </si>
  <si>
    <t>Release
PSF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</si>
  <si>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</si>
  <si>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</si>
  <si>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</si>
  <si>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</si>
  <si>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</si>
  <si>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</si>
  <si>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</si>
  <si>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</si>
  <si>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</si>
  <si>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</si>
  <si>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</si>
  <si>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</si>
  <si>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</si>
  <si>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</si>
  <si>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</si>
  <si>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</si>
  <si>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</si>
  <si>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</si>
  <si>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</si>
  <si>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</si>
  <si>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</si>
  <si>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</si>
  <si>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</si>
  <si>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</si>
  <si>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</si>
  <si>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</si>
  <si>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</si>
  <si>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</si>
  <si>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</si>
  <si>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</si>
  <si>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</si>
  <si>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</si>
  <si>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</si>
  <si>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</si>
  <si>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</si>
  <si>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</si>
  <si>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</si>
  <si>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</si>
  <si>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</si>
  <si>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</si>
  <si>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</si>
  <si>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</si>
  <si>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</si>
  <si>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</si>
  <si>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</si>
  <si>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</si>
  <si>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</si>
  <si>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</si>
  <si>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</si>
  <si>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</si>
  <si>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</si>
  <si>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</si>
  <si>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</si>
  <si>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</si>
  <si>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</si>
  <si>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</si>
  <si>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</si>
  <si>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</si>
  <si>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</si>
  <si>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</si>
  <si>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</si>
  <si>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</si>
  <si>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</si>
  <si>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</si>
  <si>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</si>
  <si>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</si>
  <si>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</si>
  <si>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</si>
  <si>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</si>
  <si>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</si>
  <si>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</si>
  <si>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</si>
  <si>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</si>
  <si>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</si>
  <si>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</si>
  <si>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</si>
  <si>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</si>
  <si>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</si>
  <si>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</si>
  <si>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</si>
  <si>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</si>
  <si>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</si>
  <si>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</si>
  <si>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</si>
  <si>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</si>
  <si>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</si>
  <si>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</si>
  <si>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</si>
  <si>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</si>
  <si>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</si>
  <si>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</si>
  <si>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</si>
  <si>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</si>
  <si>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</si>
  <si>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</si>
  <si>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</si>
  <si>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</si>
  <si>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</si>
  <si>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</si>
  <si>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</si>
  <si>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</si>
  <si>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</si>
  <si>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</si>
  <si>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</si>
  <si>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</si>
  <si>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</si>
  <si>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</si>
  <si>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</si>
  <si>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</si>
  <si>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</si>
  <si>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</si>
  <si>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</si>
  <si>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</si>
  <si>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</si>
  <si>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</si>
  <si>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</si>
  <si>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</si>
  <si>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</si>
  <si>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</si>
  <si>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</si>
  <si>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204</t>
  </si>
  <si>
    <t>Aqua Essentials</t>
  </si>
  <si>
    <t>NNN</t>
  </si>
  <si>
    <t>Renew</t>
  </si>
  <si>
    <t>205</t>
  </si>
  <si>
    <t>White Glove Delivery</t>
  </si>
  <si>
    <t>208</t>
  </si>
  <si>
    <t>NISOLO, LLC</t>
  </si>
  <si>
    <t>215</t>
  </si>
  <si>
    <t>Five Star Food Service</t>
  </si>
  <si>
    <t>218</t>
  </si>
  <si>
    <t>Kennedy Performance</t>
  </si>
  <si>
    <t>220</t>
  </si>
  <si>
    <t>MPH Global</t>
  </si>
  <si>
    <t>Vacate</t>
  </si>
  <si>
    <t>223</t>
  </si>
  <si>
    <t>Axis Portable Air</t>
  </si>
  <si>
    <t>226</t>
  </si>
  <si>
    <t>Meyer Logistics</t>
  </si>
  <si>
    <t>227</t>
  </si>
  <si>
    <t>Sunset Marketing</t>
  </si>
  <si>
    <t>232</t>
  </si>
  <si>
    <t>Uppercut Box Co.</t>
  </si>
  <si>
    <t>235</t>
  </si>
  <si>
    <t>Surtidora El Mana</t>
  </si>
  <si>
    <t>236</t>
  </si>
  <si>
    <t>D2D Distro</t>
  </si>
  <si>
    <t>302</t>
  </si>
  <si>
    <t>Senox Corporation</t>
  </si>
  <si>
    <t>308</t>
  </si>
  <si>
    <t>Century Holding</t>
  </si>
  <si>
    <t>310</t>
  </si>
  <si>
    <t>Northern Safety Co</t>
  </si>
  <si>
    <t>314</t>
  </si>
  <si>
    <t>Mygrant Glass</t>
  </si>
  <si>
    <t>324</t>
  </si>
  <si>
    <t>404</t>
  </si>
  <si>
    <t>Ideal International</t>
  </si>
  <si>
    <t>501</t>
  </si>
  <si>
    <t>CAM International</t>
  </si>
  <si>
    <t>526</t>
  </si>
  <si>
    <t>VACANT - Suite 526</t>
  </si>
  <si>
    <t>529</t>
  </si>
  <si>
    <t>Four Squared Woodworking</t>
  </si>
  <si>
    <t>601</t>
  </si>
  <si>
    <t>48Forty Solutions</t>
  </si>
  <si>
    <t>616</t>
  </si>
  <si>
    <t>North Georgia Flooring</t>
  </si>
  <si>
    <t>619</t>
  </si>
  <si>
    <t>LuxView</t>
  </si>
  <si>
    <t>625</t>
  </si>
  <si>
    <t>Distribuidora La Esperanza</t>
  </si>
  <si>
    <t>629</t>
  </si>
  <si>
    <t>Mach 1 / Cenwood</t>
  </si>
  <si>
    <t>635</t>
  </si>
  <si>
    <t>VACANT - Suite 635</t>
  </si>
  <si>
    <t>642</t>
  </si>
  <si>
    <t>VACANT - Suite 642</t>
  </si>
  <si>
    <t>701</t>
  </si>
  <si>
    <t>VACANT - Suite 701</t>
  </si>
  <si>
    <t>719</t>
  </si>
  <si>
    <t>Camso USA</t>
  </si>
  <si>
    <t>730</t>
  </si>
  <si>
    <t>JJ Haines &amp; Co</t>
  </si>
  <si>
    <t>740</t>
  </si>
  <si>
    <t>CRS Granite</t>
  </si>
  <si>
    <t>800</t>
  </si>
  <si>
    <t>SEI Group</t>
  </si>
  <si>
    <t>801</t>
  </si>
  <si>
    <t>Diligent Delivery</t>
  </si>
  <si>
    <t>1001</t>
  </si>
  <si>
    <t>OSI, Inc.</t>
  </si>
  <si>
    <t>1010</t>
  </si>
  <si>
    <t>RXO Last Mile</t>
  </si>
  <si>
    <t>1016</t>
  </si>
  <si>
    <t>TOTAL</t>
  </si>
  <si>
    <t>WALT (Years, Occupied Only)</t>
  </si>
  <si>
    <t>Occupancy at Analysis Start</t>
  </si>
  <si>
    <t>CASH FLOW PROJECTION — ANNUAL</t>
  </si>
  <si>
    <t>Period</t>
  </si>
  <si>
    <t>Year 0</t>
  </si>
  <si>
    <t>Year 11</t>
  </si>
  <si>
    <t xml:space="preserve">  REVENUE</t>
  </si>
  <si>
    <t>Gross Potential Rent</t>
  </si>
  <si>
    <t xml:space="preserve">  (Downtime already embedded in monthly build)</t>
  </si>
  <si>
    <t>Scheduled Base Rent</t>
  </si>
  <si>
    <t>Expense Recoveries (NNN)</t>
  </si>
  <si>
    <t>Other Income</t>
  </si>
  <si>
    <t>Total Gross Revenue</t>
  </si>
  <si>
    <t xml:space="preserve">  Less: General Vacancy</t>
  </si>
  <si>
    <t>Effective Gross Revenue</t>
  </si>
  <si>
    <t xml:space="preserve">  OPERATING EXPENSES</t>
  </si>
  <si>
    <t>CAM</t>
  </si>
  <si>
    <t>Insurance</t>
  </si>
  <si>
    <t>Real Estate Taxes</t>
  </si>
  <si>
    <t>Management Fee</t>
  </si>
  <si>
    <t>Total Operating Expenses</t>
  </si>
  <si>
    <t>NET OPERATING INCOME</t>
  </si>
  <si>
    <t xml:space="preserve">  CAPITAL COSTS</t>
  </si>
  <si>
    <t>Tenant Improvements</t>
  </si>
  <si>
    <t>Leasing Commissions</t>
  </si>
  <si>
    <t>Capital Reserves</t>
  </si>
  <si>
    <t>Total Capital Costs</t>
  </si>
  <si>
    <t>UNLEVERED OPERATING CASH FLOW</t>
  </si>
  <si>
    <t xml:space="preserve">  DEBT SERVICE</t>
  </si>
  <si>
    <t>Interest Expense</t>
  </si>
  <si>
    <t>Principal Payment</t>
  </si>
  <si>
    <t>Total Debt Service</t>
  </si>
  <si>
    <t>LEVERED OPERATING CASH FLOW</t>
  </si>
  <si>
    <t xml:space="preserve">  REVERSION / EXIT (Year 10)</t>
  </si>
  <si>
    <t>Gross Sale Price</t>
  </si>
  <si>
    <t xml:space="preserve">  Less: Selling Costs</t>
  </si>
  <si>
    <t xml:space="preserve">  Less: Loan Payoff</t>
  </si>
  <si>
    <t>Net Reversion (Levered)</t>
  </si>
  <si>
    <t xml:space="preserve">  TOTAL CASH FLOWS</t>
  </si>
  <si>
    <t>Total Unlevered Cash Flow</t>
  </si>
  <si>
    <t>Total Levered Cash Flow (all equity)</t>
  </si>
  <si>
    <t>EQUITY WATERFALL — AMERICAN, PARI PASSU PREF</t>
  </si>
  <si>
    <t>8% pref (non-compounding) pari passu to LP &amp; GP, pro-rata return of capital, then 80/20 split of excess</t>
  </si>
  <si>
    <t>Total</t>
  </si>
  <si>
    <t xml:space="preserve">  EQUITY CONTRIBUTIONS</t>
  </si>
  <si>
    <t>Total Equity Required</t>
  </si>
  <si>
    <t xml:space="preserve">    LP Contribution (95%)</t>
  </si>
  <si>
    <t xml:space="preserve">    GP Contribution (5%)</t>
  </si>
  <si>
    <t xml:space="preserve">  DISTRIBUTABLE CASH FLOW</t>
  </si>
  <si>
    <t>Levered Operating Cash Flow</t>
  </si>
  <si>
    <t>Net Reversion (Levered, Y10)</t>
  </si>
  <si>
    <t>Total Distributable Cash Flow</t>
  </si>
  <si>
    <t xml:space="preserve">  LP CAPITAL ACCOUNT</t>
  </si>
  <si>
    <t xml:space="preserve">    Unreturned Capital — BoP</t>
  </si>
  <si>
    <t xml:space="preserve">    + Contribution</t>
  </si>
  <si>
    <t xml:space="preserve">    - Capital Returned</t>
  </si>
  <si>
    <t xml:space="preserve">  Unreturned Capital — EoP</t>
  </si>
  <si>
    <t xml:space="preserve">  LP PREFERRED RETURN ACCOUNT</t>
  </si>
  <si>
    <t xml:space="preserve">    Accrued Unpaid Pref — BoP</t>
  </si>
  <si>
    <t xml:space="preserve">    + Pref Accrual (on BoP Unreturned Capital)</t>
  </si>
  <si>
    <t xml:space="preserve">    - Pref Paid</t>
  </si>
  <si>
    <t xml:space="preserve">  Accrued Unpaid Pref — EoP</t>
  </si>
  <si>
    <t xml:space="preserve">  GP CAPITAL ACCOUNT</t>
  </si>
  <si>
    <t xml:space="preserve">  GP PREFERRED RETURN ACCOUNT</t>
  </si>
  <si>
    <t xml:space="preserve">    + Pref Accrual</t>
  </si>
  <si>
    <t xml:space="preserve">  DISTRIBUTION WATERFALL — PER PERIOD</t>
  </si>
  <si>
    <t>Tier 1: Pref Paid (Total)</t>
  </si>
  <si>
    <t xml:space="preserve">    LP share of Tier 1</t>
  </si>
  <si>
    <t xml:space="preserve">    GP share of Tier 1</t>
  </si>
  <si>
    <t>CF Remaining After Tier 1</t>
  </si>
  <si>
    <t>Tier 2: Return of Capital (Total)</t>
  </si>
  <si>
    <t xml:space="preserve">    LP share of Tier 2</t>
  </si>
  <si>
    <t xml:space="preserve">    GP share of Tier 2</t>
  </si>
  <si>
    <t>CF Remaining After Tier 2</t>
  </si>
  <si>
    <t>Tier 3: Excess for Promote</t>
  </si>
  <si>
    <t xml:space="preserve">    LP share of Tier 3 (80%)</t>
  </si>
  <si>
    <t xml:space="preserve">    GP share of Tier 3 (20% promote)</t>
  </si>
  <si>
    <t xml:space="preserve">  TOTAL DISTRIBUTIONS</t>
  </si>
  <si>
    <t>Total LP Distribution</t>
  </si>
  <si>
    <t>Total GP Distribution</t>
  </si>
  <si>
    <t xml:space="preserve">  CASH FLOW STREAMS (for IRR)</t>
  </si>
  <si>
    <t>LP Net Cash Flow</t>
  </si>
  <si>
    <t>GP Net Cash Flow</t>
  </si>
  <si>
    <t xml:space="preserve">  RETURNS</t>
  </si>
  <si>
    <t>GP IRR (on all GP capital, incl. promote)</t>
  </si>
  <si>
    <t>GP Promote $ Earned (Tier 3 only)</t>
  </si>
  <si>
    <t>Downtime — Renewal (Months)</t>
  </si>
  <si>
    <t>Utilities ($/SF, Year 1)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</si>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</sst>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;&quot;($&quot;#,##0\);\-"/>
    <numFmt numFmtId="165" formatCode="\$#,##0.00;&quot;($&quot;#,##0.00\);\-"/>
    <numFmt numFmtId="166" formatCode="#,##0;\(#,##0\);\-"/>
    <numFmt numFmtId="167" formatCode="#,##0.00;\(#,##0.00\);\-"/>
    <numFmt numFmtId="168" formatCode="0.0%;\(0.0%\);\-"/>
    <numFmt numFmtId="169" formatCode="0.00\x"/>
    <numFmt numFmtId="170" formatCode="&quot;Year &quot;0"/>
    <numFmt numFmtId="171" formatCode="0.0"/>
    <numFmt numFmtId="172" formatCode="0\ &quot;Years&quot;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i/>
      <sz val="9"/>
      <color rgb="FFFFFFFF"/>
      <name val="Arial"/>
      <family val="2"/>
    </font>
    <font>
      <i/>
      <sz val="9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5B7CB3"/>
        <bgColor rgb="FF666666"/>
      </patternFill>
    </fill>
    <fill>
      <patternFill patternType="solid">
        <fgColor rgb="FFD9E1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71" fontId="8" fillId="0" borderId="0" xfId="0" applyNumberFormat="1" applyFont="1" applyAlignment="1">
      <alignment horizontal="right" vertical="center"/>
    </xf>
    <xf numFmtId="14" fontId="8" fillId="0" borderId="0" xfId="0" applyNumberFormat="1" applyFont="1" applyAlignment="1">
      <alignment horizontal="right" vertical="center"/>
    </xf>
    <xf numFmtId="164" fontId="8" fillId="5" borderId="0" xfId="0" applyNumberFormat="1" applyFont="1" applyFill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68" fontId="8" fillId="5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9" fillId="5" borderId="0" xfId="0" applyNumberFormat="1" applyFont="1" applyFill="1" applyAlignment="1">
      <alignment horizontal="right" vertical="center"/>
    </xf>
    <xf numFmtId="168" fontId="8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" fontId="6" fillId="4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164" fontId="4" fillId="0" borderId="0" xfId="0" applyNumberFormat="1" applyFont="1"/>
    <xf numFmtId="166" fontId="6" fillId="0" borderId="2" xfId="0" applyNumberFormat="1" applyFont="1" applyBorder="1" applyAlignment="1">
      <alignment horizontal="right" vertical="center"/>
    </xf>
    <xf numFmtId="168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/>
    <xf numFmtId="167" fontId="6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0" fontId="0" fillId="3" borderId="0" xfId="0" applyFill="1"/>
    <xf numFmtId="0" fontId="12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4" fontId="6" fillId="7" borderId="0" xfId="0" applyNumberFormat="1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8" fontId="6" fillId="7" borderId="0" xfId="0" applyNumberFormat="1" applyFont="1" applyFill="1" applyAlignment="1">
      <alignment horizontal="right" vertical="center"/>
    </xf>
    <xf numFmtId="169" fontId="6" fillId="7" borderId="0" xfId="0" applyNumberFormat="1" applyFont="1" applyFill="1" applyAlignment="1">
      <alignment horizontal="right" vertical="center"/>
    </xf>
    <xf numFmtId="172" fontId="5" fillId="0" borderId="0" xfId="0" applyNumberFormat="1" applyFont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7CB3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5"/>
  <sheetViews>
    <sheetView showGridLines="0" tabSelected="1" zoomScaleNormal="100" workbookViewId="0">
      <selection activeCell="B1" sqref="B1"/>
    </sheetView>
  </sheetViews>
  <sheetFormatPr defaultColWidth="8.6328125" defaultRowHeight="14.5" x14ac:dyDescent="0.35"/>
  <cols>
    <col min="1" max="1" width="2" customWidth="1"/>
    <col min="2" max="2" width="32" customWidth="1"/>
    <col min="3" max="3" width="20" customWidth="1"/>
    <col min="4" max="4" width="4" customWidth="1"/>
    <col min="5" max="5" width="32" customWidth="1"/>
    <col min="6" max="6" width="20" customWidth="1"/>
  </cols>
  <sheetData>
    <row r="2" spans="2:6" ht="25.5" customHeight="1" x14ac:dyDescent="0.35">
      <c r="B2" s="56" t="s">
        <v>0</v>
      </c>
      <c r="C2" s="56"/>
      <c r="D2" s="56"/>
      <c r="E2" s="56"/>
      <c r="F2" s="56"/>
    </row>
    <row r="3" spans="2:6" x14ac:dyDescent="0.35">
      <c r="B3" s="57" t="s">
        <v>1</v>
      </c>
      <c r="C3" s="57"/>
      <c r="D3" s="57"/>
      <c r="E3" s="57"/>
      <c r="F3" s="57"/>
    </row>
    <row r="5" spans="2:6" ht="19.5" customHeight="1" x14ac:dyDescent="0.35">
      <c r="B5" s="55" t="s">
        <v>2</v>
      </c>
      <c r="C5" s="55"/>
      <c r="E5" s="55" t="s">
        <v>3</v>
      </c>
      <c r="F5" s="55"/>
    </row>
    <row r="6" spans="2:6" x14ac:dyDescent="0.35">
      <c r="B6" s="2" t="s">
        <v>4</v>
      </c>
      <c r="C6" s="3" t="str">
        <f>Assumptions!C6</f>
        <v>Space Park South (Example)</v>
      </c>
      <c r="E6" s="2" t="s">
        <v>5</v>
      </c>
      <c r="F6" s="4">
        <f>AnalysisStart</f>
        <v>45292</v>
      </c>
    </row>
    <row r="7" spans="2:6" x14ac:dyDescent="0.35">
      <c r="B7" s="2" t="s">
        <v>6</v>
      </c>
      <c r="C7" s="3" t="str">
        <f>Assumptions!C7</f>
        <v>201 Space Park S. Dr.</v>
      </c>
      <c r="E7" s="2" t="s">
        <v>7</v>
      </c>
      <c r="F7" s="54">
        <f>HoldYears</f>
        <v>10</v>
      </c>
    </row>
    <row r="8" spans="2:6" x14ac:dyDescent="0.35">
      <c r="B8" s="2" t="s">
        <v>8</v>
      </c>
      <c r="C8" s="3" t="str">
        <f>Assumptions!C8</f>
        <v>Nashville, TN 37211</v>
      </c>
      <c r="E8" s="5" t="s">
        <v>9</v>
      </c>
      <c r="F8" s="6">
        <f>PurchasePrice</f>
        <v>120000000</v>
      </c>
    </row>
    <row r="9" spans="2:6" x14ac:dyDescent="0.35">
      <c r="B9" s="2" t="s">
        <v>10</v>
      </c>
      <c r="C9" s="3" t="str">
        <f>Assumptions!C9</f>
        <v>Interchange City / Southeast</v>
      </c>
      <c r="E9" s="2" t="s">
        <v>11</v>
      </c>
      <c r="F9" s="7">
        <f>Assumptions!C19</f>
        <v>98.944591029023741</v>
      </c>
    </row>
    <row r="10" spans="2:6" x14ac:dyDescent="0.35">
      <c r="B10" s="2" t="s">
        <v>12</v>
      </c>
      <c r="C10" s="8">
        <f>TotalSF</f>
        <v>1212800</v>
      </c>
      <c r="E10" s="2" t="s">
        <v>13</v>
      </c>
      <c r="F10" s="9">
        <f>TotalAcqCost</f>
        <v>121200000</v>
      </c>
    </row>
    <row r="11" spans="2:6" x14ac:dyDescent="0.35">
      <c r="B11" s="2" t="s">
        <v>14</v>
      </c>
      <c r="C11" s="10">
        <f>Assumptions!C12</f>
        <v>1974</v>
      </c>
      <c r="E11" s="2" t="s">
        <v>15</v>
      </c>
      <c r="F11" s="9">
        <f>LoanAmount</f>
        <v>72000000</v>
      </c>
    </row>
    <row r="12" spans="2:6" x14ac:dyDescent="0.35">
      <c r="B12" s="2" t="s">
        <v>16</v>
      </c>
      <c r="C12" s="11">
        <f>'Rent Roll'!D63</f>
        <v>2.0737224684394309</v>
      </c>
      <c r="E12" s="2" t="s">
        <v>17</v>
      </c>
      <c r="F12" s="12">
        <f>LTV_Pct</f>
        <v>0.6</v>
      </c>
    </row>
    <row r="13" spans="2:6" x14ac:dyDescent="0.35">
      <c r="B13" s="2" t="s">
        <v>18</v>
      </c>
      <c r="C13" s="12">
        <f>'Rent Roll'!D64</f>
        <v>0.85405672823218992</v>
      </c>
      <c r="E13" s="5" t="s">
        <v>19</v>
      </c>
      <c r="F13" s="13">
        <f>TotalAcqCost-LoanAmount+LoanAmount*LoanFeePct</f>
        <v>49920000</v>
      </c>
    </row>
    <row r="15" spans="2:6" ht="19.5" customHeight="1" x14ac:dyDescent="0.35">
      <c r="B15" s="55" t="s">
        <v>20</v>
      </c>
      <c r="C15" s="55"/>
      <c r="D15" s="55"/>
      <c r="E15" s="55"/>
      <c r="F15" s="55"/>
    </row>
    <row r="17" spans="2:6" x14ac:dyDescent="0.35">
      <c r="B17" s="5" t="s">
        <v>21</v>
      </c>
      <c r="C17" s="14">
        <f>_xlfn.IFNA(IRR('Cash Flow'!C50:M50),"N/A")</f>
        <v>0.12221194711829564</v>
      </c>
      <c r="E17" s="5" t="s">
        <v>22</v>
      </c>
      <c r="F17" s="14">
        <f>_xlfn.IFNA(IRR('Cash Flow'!C51:M51),"N/A")</f>
        <v>0.17138026422992625</v>
      </c>
    </row>
    <row r="18" spans="2:6" x14ac:dyDescent="0.35">
      <c r="B18" s="5" t="s">
        <v>23</v>
      </c>
      <c r="C18" s="15">
        <f>SUM('Cash Flow'!D50:M50)/ABS('Cash Flow'!C50)</f>
        <v>2.6169546638789432</v>
      </c>
      <c r="E18" s="5" t="s">
        <v>24</v>
      </c>
      <c r="F18" s="15">
        <f>SUM('Cash Flow'!D51:M51)/ABS('Cash Flow'!C51)</f>
        <v>4.0122907791213462</v>
      </c>
    </row>
    <row r="20" spans="2:6" ht="19.5" customHeight="1" x14ac:dyDescent="0.35">
      <c r="B20" s="55" t="s">
        <v>25</v>
      </c>
      <c r="C20" s="55"/>
      <c r="D20" s="55"/>
      <c r="E20" s="55"/>
      <c r="F20" s="55"/>
    </row>
    <row r="22" spans="2:6" x14ac:dyDescent="0.35">
      <c r="B22" s="5" t="s">
        <v>26</v>
      </c>
      <c r="C22" s="14">
        <f>Waterfall!C61</f>
        <v>0.16071220635770911</v>
      </c>
      <c r="E22" s="5" t="s">
        <v>27</v>
      </c>
      <c r="F22" s="14">
        <f>Waterfall!C63</f>
        <v>0.28844179584719476</v>
      </c>
    </row>
    <row r="23" spans="2:6" x14ac:dyDescent="0.35">
      <c r="B23" s="5" t="s">
        <v>28</v>
      </c>
      <c r="C23" s="15">
        <f>Waterfall!C62</f>
        <v>3.6593882662690604</v>
      </c>
      <c r="E23" s="5" t="s">
        <v>29</v>
      </c>
      <c r="F23" s="15">
        <f>Waterfall!C64</f>
        <v>10.717438523314774</v>
      </c>
    </row>
    <row r="24" spans="2:6" x14ac:dyDescent="0.35">
      <c r="B24" s="2" t="s">
        <v>30</v>
      </c>
      <c r="C24" s="9">
        <f>Waterfall!C65</f>
        <v>22314731.692675728</v>
      </c>
    </row>
    <row r="26" spans="2:6" ht="19.5" customHeight="1" x14ac:dyDescent="0.35">
      <c r="B26" s="55" t="s">
        <v>31</v>
      </c>
      <c r="C26" s="55"/>
      <c r="D26" s="55"/>
      <c r="E26" s="55"/>
      <c r="F26" s="55"/>
    </row>
    <row r="28" spans="2:6" x14ac:dyDescent="0.35">
      <c r="B28" s="2" t="s">
        <v>32</v>
      </c>
      <c r="C28" s="9">
        <f>'Cash Flow'!D25</f>
        <v>7089647.1869826689</v>
      </c>
      <c r="E28" s="5" t="s">
        <v>33</v>
      </c>
      <c r="F28" s="14">
        <f>'Cash Flow'!D25/PurchasePrice</f>
        <v>5.9080393224855574E-2</v>
      </c>
    </row>
    <row r="29" spans="2:6" x14ac:dyDescent="0.35">
      <c r="B29" s="2" t="s">
        <v>34</v>
      </c>
      <c r="C29" s="9">
        <f>'Cash Flow'!M25</f>
        <v>13615675.76365347</v>
      </c>
      <c r="E29" s="2" t="s">
        <v>35</v>
      </c>
      <c r="F29" s="12">
        <f>ExitCap</f>
        <v>6.5000000000000002E-2</v>
      </c>
    </row>
    <row r="30" spans="2:6" x14ac:dyDescent="0.35">
      <c r="B30" s="2" t="s">
        <v>36</v>
      </c>
      <c r="C30" s="9">
        <f>'Cash Flow'!N25</f>
        <v>14024146.036563074</v>
      </c>
      <c r="E30" s="2" t="s">
        <v>37</v>
      </c>
      <c r="F30" s="9">
        <f>'Cash Flow'!M43</f>
        <v>215756092.87020114</v>
      </c>
    </row>
    <row r="31" spans="2:6" x14ac:dyDescent="0.35">
      <c r="B31" s="2" t="s">
        <v>38</v>
      </c>
      <c r="C31" s="12">
        <f>'Cash Flow'!M25/'Cash Flow'!D25-1</f>
        <v>0.920501176511755</v>
      </c>
      <c r="E31" s="2" t="s">
        <v>39</v>
      </c>
      <c r="F31" s="9">
        <f>'Cash Flow'!M45</f>
        <v>212519751.47714812</v>
      </c>
    </row>
    <row r="33" spans="2:6" ht="19.5" customHeight="1" x14ac:dyDescent="0.35">
      <c r="B33" s="55" t="s">
        <v>40</v>
      </c>
      <c r="C33" s="55"/>
      <c r="D33" s="55"/>
      <c r="E33" s="55"/>
      <c r="F33" s="55"/>
    </row>
    <row r="35" spans="2:6" x14ac:dyDescent="0.35">
      <c r="B35" s="16" t="s">
        <v>41</v>
      </c>
      <c r="C35" s="16" t="s">
        <v>42</v>
      </c>
      <c r="E35" s="16" t="s">
        <v>43</v>
      </c>
      <c r="F35" s="16" t="s">
        <v>44</v>
      </c>
    </row>
    <row r="36" spans="2:6" x14ac:dyDescent="0.35">
      <c r="B36" s="17">
        <v>1</v>
      </c>
      <c r="C36" s="9">
        <f>'Cash Flow'!D25</f>
        <v>7089647.1869826689</v>
      </c>
      <c r="E36" s="9">
        <f>'Cash Flow'!D33</f>
        <v>4905422.1869826689</v>
      </c>
      <c r="F36" s="18">
        <f>'Cash Flow'!D40/(TotalAcqCost-LoanAmount+LoanAmount*LoanFeePct)</f>
        <v>4.5156688097489767E-3</v>
      </c>
    </row>
    <row r="37" spans="2:6" x14ac:dyDescent="0.35">
      <c r="B37" s="17">
        <v>2</v>
      </c>
      <c r="C37" s="9">
        <f>'Cash Flow'!E25</f>
        <v>9051421.7315978147</v>
      </c>
      <c r="E37" s="9">
        <f>'Cash Flow'!E33</f>
        <v>7787212.7315978147</v>
      </c>
      <c r="F37" s="18">
        <f>'Cash Flow'!E40/(TotalAcqCost-LoanAmount+LoanAmount*LoanFeePct)</f>
        <v>6.2243844783610072E-2</v>
      </c>
    </row>
    <row r="38" spans="2:6" x14ac:dyDescent="0.35">
      <c r="B38" s="17">
        <v>3</v>
      </c>
      <c r="C38" s="9">
        <f>'Cash Flow'!F25</f>
        <v>10139109.525445197</v>
      </c>
      <c r="E38" s="9">
        <f>'Cash Flow'!F33</f>
        <v>9504684.137985196</v>
      </c>
      <c r="F38" s="18">
        <f>'Cash Flow'!F40/(TotalAcqCost-LoanAmount+LoanAmount*LoanFeePct)</f>
        <v>8.1001931390344339E-2</v>
      </c>
    </row>
    <row r="39" spans="2:6" x14ac:dyDescent="0.35">
      <c r="B39" s="17">
        <v>4</v>
      </c>
      <c r="C39" s="9">
        <f>'Cash Flow'!G25</f>
        <v>10600287.398767557</v>
      </c>
      <c r="E39" s="9">
        <f>'Cash Flow'!G33</f>
        <v>9538341.5891425572</v>
      </c>
      <c r="F39" s="18">
        <f>'Cash Flow'!G40/(TotalAcqCost-LoanAmount+LoanAmount*LoanFeePct)</f>
        <v>8.1676159177951735E-2</v>
      </c>
    </row>
    <row r="40" spans="2:6" x14ac:dyDescent="0.35">
      <c r="B40" s="17">
        <v>5</v>
      </c>
      <c r="C40" s="9">
        <f>'Cash Flow'!H25</f>
        <v>11182022.726996694</v>
      </c>
      <c r="E40" s="9">
        <f>'Cash Flow'!H33</f>
        <v>9989487.9329413436</v>
      </c>
      <c r="F40" s="18">
        <f>'Cash Flow'!H40/(TotalAcqCost-LoanAmount+LoanAmount*LoanFeePct)</f>
        <v>9.0713545872638968E-2</v>
      </c>
    </row>
    <row r="41" spans="2:6" x14ac:dyDescent="0.35">
      <c r="B41" s="17">
        <v>6</v>
      </c>
      <c r="C41" s="9">
        <f>'Cash Flow'!I25</f>
        <v>12324986.608690463</v>
      </c>
      <c r="E41" s="9">
        <f>'Cash Flow'!I33</f>
        <v>11973494.709362702</v>
      </c>
      <c r="F41" s="18">
        <f>'Cash Flow'!I40/(TotalAcqCost-LoanAmount+LoanAmount*LoanFeePct)</f>
        <v>0.13045727136184887</v>
      </c>
    </row>
    <row r="42" spans="2:6" x14ac:dyDescent="0.35">
      <c r="B42" s="17">
        <v>7</v>
      </c>
      <c r="C42" s="9">
        <f>'Cash Flow'!J25</f>
        <v>12638319.991211304</v>
      </c>
      <c r="E42" s="9">
        <f>'Cash Flow'!J33</f>
        <v>12203372.64248739</v>
      </c>
      <c r="F42" s="18">
        <f>'Cash Flow'!J40/(TotalAcqCost-LoanAmount+LoanAmount*LoanFeePct)</f>
        <v>0.13506219790681456</v>
      </c>
    </row>
    <row r="43" spans="2:6" x14ac:dyDescent="0.35">
      <c r="B43" s="17">
        <v>8</v>
      </c>
      <c r="C43" s="9">
        <f>'Cash Flow'!K25</f>
        <v>12991790.283542704</v>
      </c>
      <c r="E43" s="9">
        <f>'Cash Flow'!K33</f>
        <v>12618892.527545882</v>
      </c>
      <c r="F43" s="18">
        <f>'Cash Flow'!K40/(TotalAcqCost-LoanAmount+LoanAmount*LoanFeePct)</f>
        <v>0.14338591355301836</v>
      </c>
    </row>
    <row r="44" spans="2:6" x14ac:dyDescent="0.35">
      <c r="B44" s="17">
        <v>9</v>
      </c>
      <c r="C44" s="9">
        <f>'Cash Flow'!L25</f>
        <v>13298261.481294552</v>
      </c>
      <c r="E44" s="9">
        <f>'Cash Flow'!L33</f>
        <v>12914176.792617828</v>
      </c>
      <c r="F44" s="18">
        <f>'Cash Flow'!L40/(TotalAcqCost-LoanAmount+LoanAmount*LoanFeePct)</f>
        <v>0.14930106309372237</v>
      </c>
    </row>
    <row r="45" spans="2:6" x14ac:dyDescent="0.35">
      <c r="B45" s="17">
        <v>10</v>
      </c>
      <c r="C45" s="9">
        <f>'Cash Flow'!M25</f>
        <v>13615675.76365347</v>
      </c>
      <c r="E45" s="9">
        <f>'Cash Flow'!M33</f>
        <v>13220068.534316443</v>
      </c>
      <c r="F45" s="18">
        <f>'Cash Flow'!M40/(TotalAcqCost-LoanAmount+LoanAmount*LoanFeePct)</f>
        <v>0.15542870215018503</v>
      </c>
    </row>
  </sheetData>
  <mergeCells count="8">
    <mergeCell ref="B20:F20"/>
    <mergeCell ref="B26:F26"/>
    <mergeCell ref="B33:F33"/>
    <mergeCell ref="B2:F2"/>
    <mergeCell ref="B3:F3"/>
    <mergeCell ref="B5:C5"/>
    <mergeCell ref="E5:F5"/>
    <mergeCell ref="B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76"/>
  <sheetViews>
    <sheetView showGridLines="0" zoomScaleNormal="100" workbookViewId="0">
      <pane ySplit="4" topLeftCell="A5" activePane="bottomLeft" state="frozen"/>
      <selection pane="bottomLeft" activeCell="C80" sqref="C80"/>
    </sheetView>
  </sheetViews>
  <sheetFormatPr defaultColWidth="8.6328125" defaultRowHeight="14.5" x14ac:dyDescent="0.35"/>
  <cols>
    <col min="1" max="1" width="2" customWidth="1"/>
    <col min="2" max="2" width="42" customWidth="1"/>
    <col min="3" max="3" width="18" customWidth="1"/>
    <col min="4" max="4" width="14" customWidth="1"/>
    <col min="5" max="14" width="12" customWidth="1"/>
  </cols>
  <sheetData>
    <row r="2" spans="2:14" ht="25.5" customHeight="1" x14ac:dyDescent="0.35">
      <c r="B2" s="56" t="s">
        <v>45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2:14" x14ac:dyDescent="0.35">
      <c r="B3" s="57" t="s">
        <v>46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5" spans="2:14" ht="19.5" customHeight="1" x14ac:dyDescent="0.35">
      <c r="B5" s="55" t="s">
        <v>47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2:14" x14ac:dyDescent="0.35">
      <c r="B6" s="2" t="s">
        <v>4</v>
      </c>
      <c r="C6" s="19" t="s">
        <v>48</v>
      </c>
    </row>
    <row r="7" spans="2:14" x14ac:dyDescent="0.35">
      <c r="B7" s="2" t="s">
        <v>6</v>
      </c>
      <c r="C7" s="19" t="s">
        <v>49</v>
      </c>
    </row>
    <row r="8" spans="2:14" x14ac:dyDescent="0.35">
      <c r="B8" s="2" t="s">
        <v>8</v>
      </c>
      <c r="C8" s="19" t="s">
        <v>50</v>
      </c>
    </row>
    <row r="9" spans="2:14" x14ac:dyDescent="0.35">
      <c r="B9" s="2" t="s">
        <v>10</v>
      </c>
      <c r="C9" s="19" t="s">
        <v>51</v>
      </c>
    </row>
    <row r="10" spans="2:14" x14ac:dyDescent="0.35">
      <c r="B10" s="5" t="s">
        <v>52</v>
      </c>
      <c r="C10" s="20">
        <v>1212800</v>
      </c>
    </row>
    <row r="11" spans="2:14" x14ac:dyDescent="0.35">
      <c r="B11" s="2" t="s">
        <v>53</v>
      </c>
      <c r="C11" s="20">
        <v>8</v>
      </c>
    </row>
    <row r="12" spans="2:14" x14ac:dyDescent="0.35">
      <c r="B12" s="2" t="s">
        <v>14</v>
      </c>
      <c r="C12" s="21">
        <v>1974</v>
      </c>
    </row>
    <row r="13" spans="2:14" x14ac:dyDescent="0.35">
      <c r="B13" s="2" t="s">
        <v>54</v>
      </c>
      <c r="C13" s="22">
        <v>66.599999999999994</v>
      </c>
    </row>
    <row r="15" spans="2:14" ht="19.5" customHeight="1" x14ac:dyDescent="0.35">
      <c r="B15" s="55" t="s">
        <v>55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2:14" x14ac:dyDescent="0.35">
      <c r="B16" s="2" t="s">
        <v>56</v>
      </c>
      <c r="C16" s="23">
        <v>45292</v>
      </c>
    </row>
    <row r="17" spans="2:14" x14ac:dyDescent="0.35">
      <c r="B17" s="2" t="s">
        <v>57</v>
      </c>
      <c r="C17" s="21">
        <v>10</v>
      </c>
    </row>
    <row r="18" spans="2:14" x14ac:dyDescent="0.35">
      <c r="B18" s="5" t="s">
        <v>9</v>
      </c>
      <c r="C18" s="24">
        <v>120000000</v>
      </c>
    </row>
    <row r="19" spans="2:14" x14ac:dyDescent="0.35">
      <c r="B19" s="2" t="s">
        <v>11</v>
      </c>
      <c r="C19" s="25">
        <f>C18/C10</f>
        <v>98.944591029023741</v>
      </c>
    </row>
    <row r="20" spans="2:14" x14ac:dyDescent="0.35">
      <c r="B20" s="2" t="s">
        <v>58</v>
      </c>
      <c r="C20" s="26">
        <v>0.01</v>
      </c>
    </row>
    <row r="21" spans="2:14" x14ac:dyDescent="0.35">
      <c r="B21" s="5" t="s">
        <v>13</v>
      </c>
      <c r="C21" s="13">
        <f>C18*(1+C20)</f>
        <v>121200000</v>
      </c>
    </row>
    <row r="23" spans="2:14" ht="19.5" customHeight="1" x14ac:dyDescent="0.35">
      <c r="B23" s="55" t="s">
        <v>59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</row>
    <row r="24" spans="2:14" x14ac:dyDescent="0.35">
      <c r="B24" s="2" t="s">
        <v>17</v>
      </c>
      <c r="C24" s="27">
        <v>0.6</v>
      </c>
    </row>
    <row r="25" spans="2:14" x14ac:dyDescent="0.35">
      <c r="B25" s="2" t="s">
        <v>60</v>
      </c>
      <c r="C25" s="27">
        <v>6.5000000000000002E-2</v>
      </c>
    </row>
    <row r="26" spans="2:14" x14ac:dyDescent="0.35">
      <c r="B26" s="2" t="s">
        <v>61</v>
      </c>
      <c r="C26" s="21">
        <v>30</v>
      </c>
    </row>
    <row r="27" spans="2:14" x14ac:dyDescent="0.35">
      <c r="B27" s="2" t="s">
        <v>62</v>
      </c>
      <c r="C27" s="21">
        <v>2</v>
      </c>
    </row>
    <row r="28" spans="2:14" x14ac:dyDescent="0.35">
      <c r="B28" s="2" t="s">
        <v>63</v>
      </c>
      <c r="C28" s="26">
        <v>0.01</v>
      </c>
    </row>
    <row r="29" spans="2:14" x14ac:dyDescent="0.35">
      <c r="B29" s="5" t="s">
        <v>15</v>
      </c>
      <c r="C29" s="13">
        <f>C18*C24</f>
        <v>72000000</v>
      </c>
    </row>
    <row r="30" spans="2:14" x14ac:dyDescent="0.35">
      <c r="B30" s="2" t="s">
        <v>64</v>
      </c>
      <c r="C30" s="28">
        <f>C29*C25</f>
        <v>4680000</v>
      </c>
    </row>
    <row r="31" spans="2:14" x14ac:dyDescent="0.35">
      <c r="B31" s="2" t="s">
        <v>65</v>
      </c>
      <c r="C31" s="28">
        <f>-PMT(C25/12,C26*12,C29)*12</f>
        <v>5461067.7229792066</v>
      </c>
    </row>
    <row r="33" spans="2:14" ht="19.5" customHeight="1" x14ac:dyDescent="0.35">
      <c r="B33" s="55" t="s">
        <v>66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2:14" x14ac:dyDescent="0.35">
      <c r="B34" s="2" t="s">
        <v>35</v>
      </c>
      <c r="C34" s="27">
        <v>6.5000000000000002E-2</v>
      </c>
    </row>
    <row r="35" spans="2:14" x14ac:dyDescent="0.35">
      <c r="B35" s="2" t="s">
        <v>67</v>
      </c>
      <c r="C35" s="26">
        <v>1.4999999999999999E-2</v>
      </c>
    </row>
    <row r="37" spans="2:14" ht="19.5" customHeight="1" x14ac:dyDescent="0.35">
      <c r="B37" s="55" t="s">
        <v>68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</row>
    <row r="38" spans="2:14" x14ac:dyDescent="0.35">
      <c r="B38" s="5" t="s">
        <v>69</v>
      </c>
      <c r="C38" s="29">
        <v>10</v>
      </c>
    </row>
    <row r="40" spans="2:14" x14ac:dyDescent="0.35">
      <c r="B40" s="2" t="s">
        <v>70</v>
      </c>
    </row>
    <row r="41" spans="2:14" x14ac:dyDescent="0.35">
      <c r="D41" s="16" t="s">
        <v>71</v>
      </c>
      <c r="E41" s="16" t="s">
        <v>72</v>
      </c>
      <c r="F41" s="16" t="s">
        <v>73</v>
      </c>
      <c r="G41" s="16" t="s">
        <v>74</v>
      </c>
      <c r="H41" s="16" t="s">
        <v>75</v>
      </c>
      <c r="I41" s="16" t="s">
        <v>76</v>
      </c>
      <c r="J41" s="16" t="s">
        <v>77</v>
      </c>
      <c r="K41" s="16" t="s">
        <v>78</v>
      </c>
      <c r="L41" s="16" t="s">
        <v>79</v>
      </c>
      <c r="M41" s="16" t="s">
        <v>80</v>
      </c>
    </row>
    <row r="42" spans="2:14" x14ac:dyDescent="0.35">
      <c r="D42" s="30">
        <v>0.06</v>
      </c>
      <c r="E42" s="30">
        <v>4.4999999999999998E-2</v>
      </c>
      <c r="F42" s="30">
        <v>4.4999999999999998E-2</v>
      </c>
      <c r="G42" s="30">
        <v>3.5000000000000003E-2</v>
      </c>
      <c r="H42" s="30">
        <v>3.3000000000000002E-2</v>
      </c>
      <c r="I42" s="30">
        <v>0.03</v>
      </c>
      <c r="J42" s="30">
        <v>0.03</v>
      </c>
      <c r="K42" s="30">
        <v>0.03</v>
      </c>
      <c r="L42" s="30">
        <v>0.03</v>
      </c>
      <c r="M42" s="30">
        <v>0.03</v>
      </c>
    </row>
    <row r="43" spans="2:14" x14ac:dyDescent="0.35">
      <c r="B43" s="2" t="s">
        <v>81</v>
      </c>
      <c r="D43" s="16" t="s">
        <v>82</v>
      </c>
      <c r="E43" s="16" t="s">
        <v>83</v>
      </c>
      <c r="F43" s="16" t="s">
        <v>84</v>
      </c>
      <c r="G43" s="16" t="s">
        <v>85</v>
      </c>
      <c r="H43" s="16" t="s">
        <v>86</v>
      </c>
      <c r="I43" s="16" t="s">
        <v>87</v>
      </c>
      <c r="J43" s="16" t="s">
        <v>88</v>
      </c>
      <c r="K43" s="16" t="s">
        <v>89</v>
      </c>
      <c r="L43" s="16" t="s">
        <v>90</v>
      </c>
      <c r="M43" s="16" t="s">
        <v>91</v>
      </c>
    </row>
    <row r="44" spans="2:14" x14ac:dyDescent="0.35">
      <c r="D44" s="31">
        <f>C38</f>
        <v>10</v>
      </c>
      <c r="E44" s="31">
        <f t="shared" ref="E44:M44" si="0">D44*(1+D42)</f>
        <v>10.600000000000001</v>
      </c>
      <c r="F44" s="31">
        <f t="shared" si="0"/>
        <v>11.077</v>
      </c>
      <c r="G44" s="31">
        <f t="shared" si="0"/>
        <v>11.575464999999999</v>
      </c>
      <c r="H44" s="31">
        <f t="shared" si="0"/>
        <v>11.980606274999998</v>
      </c>
      <c r="I44" s="31">
        <f t="shared" si="0"/>
        <v>12.375966282074996</v>
      </c>
      <c r="J44" s="31">
        <f t="shared" si="0"/>
        <v>12.747245270537247</v>
      </c>
      <c r="K44" s="31">
        <f t="shared" si="0"/>
        <v>13.129662628653366</v>
      </c>
      <c r="L44" s="31">
        <f t="shared" si="0"/>
        <v>13.523552507512967</v>
      </c>
      <c r="M44" s="31">
        <f t="shared" si="0"/>
        <v>13.929259082738357</v>
      </c>
    </row>
    <row r="46" spans="2:14" ht="19.5" customHeight="1" x14ac:dyDescent="0.35">
      <c r="B46" s="55" t="s">
        <v>92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</row>
    <row r="47" spans="2:14" x14ac:dyDescent="0.35">
      <c r="B47" s="2" t="s">
        <v>93</v>
      </c>
      <c r="C47" s="32">
        <v>5</v>
      </c>
    </row>
    <row r="48" spans="2:14" x14ac:dyDescent="0.35">
      <c r="B48" s="2" t="s">
        <v>94</v>
      </c>
      <c r="C48" s="32">
        <v>1.5</v>
      </c>
    </row>
    <row r="49" spans="2:14" x14ac:dyDescent="0.35">
      <c r="B49" s="2" t="s">
        <v>95</v>
      </c>
      <c r="C49" s="26">
        <v>0.06</v>
      </c>
    </row>
    <row r="50" spans="2:14" x14ac:dyDescent="0.35">
      <c r="B50" s="2" t="s">
        <v>96</v>
      </c>
      <c r="C50" s="26">
        <v>0.03</v>
      </c>
    </row>
    <row r="51" spans="2:14" x14ac:dyDescent="0.35">
      <c r="B51" s="2" t="s">
        <v>97</v>
      </c>
      <c r="C51" s="21">
        <v>4</v>
      </c>
    </row>
    <row r="52" spans="2:14" x14ac:dyDescent="0.35">
      <c r="B52" s="2" t="s">
        <v>98</v>
      </c>
      <c r="C52" s="21">
        <v>0</v>
      </c>
    </row>
    <row r="53" spans="2:14" x14ac:dyDescent="0.35">
      <c r="B53" s="2" t="s">
        <v>99</v>
      </c>
      <c r="C53" s="21">
        <v>12</v>
      </c>
    </row>
    <row r="54" spans="2:14" x14ac:dyDescent="0.35">
      <c r="B54" s="2" t="s">
        <v>426</v>
      </c>
      <c r="C54" s="21">
        <v>0</v>
      </c>
    </row>
    <row r="55" spans="2:14" x14ac:dyDescent="0.35">
      <c r="B55" s="2" t="s">
        <v>100</v>
      </c>
      <c r="C55" s="26">
        <v>0.75</v>
      </c>
    </row>
    <row r="56" spans="2:14" x14ac:dyDescent="0.35">
      <c r="B56" s="2" t="s">
        <v>101</v>
      </c>
      <c r="C56" s="21">
        <v>5</v>
      </c>
    </row>
    <row r="58" spans="2:14" ht="19.5" customHeight="1" x14ac:dyDescent="0.35">
      <c r="B58" s="55" t="s">
        <v>102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2:14" x14ac:dyDescent="0.35">
      <c r="B59" s="2" t="s">
        <v>103</v>
      </c>
      <c r="C59" s="32">
        <v>0.4</v>
      </c>
    </row>
    <row r="60" spans="2:14" x14ac:dyDescent="0.35">
      <c r="B60" s="2" t="s">
        <v>104</v>
      </c>
      <c r="C60" s="32">
        <v>0.18</v>
      </c>
    </row>
    <row r="61" spans="2:14" x14ac:dyDescent="0.35">
      <c r="B61" s="2" t="s">
        <v>105</v>
      </c>
      <c r="C61" s="32">
        <v>0.95</v>
      </c>
    </row>
    <row r="62" spans="2:14" x14ac:dyDescent="0.35">
      <c r="B62" s="2" t="s">
        <v>427</v>
      </c>
      <c r="C62" s="32">
        <v>0.1</v>
      </c>
    </row>
    <row r="63" spans="2:14" x14ac:dyDescent="0.35">
      <c r="B63" s="2" t="s">
        <v>106</v>
      </c>
      <c r="C63" s="26">
        <v>0.03</v>
      </c>
    </row>
    <row r="64" spans="2:14" x14ac:dyDescent="0.35">
      <c r="B64" s="2" t="s">
        <v>107</v>
      </c>
      <c r="C64" s="26">
        <v>0.03</v>
      </c>
    </row>
    <row r="65" spans="2:14" x14ac:dyDescent="0.35">
      <c r="B65" s="2" t="s">
        <v>108</v>
      </c>
      <c r="C65" s="26">
        <v>0.02</v>
      </c>
    </row>
    <row r="66" spans="2:14" x14ac:dyDescent="0.35">
      <c r="B66" s="2" t="s">
        <v>109</v>
      </c>
      <c r="C66" s="26">
        <v>1</v>
      </c>
    </row>
    <row r="67" spans="2:14" x14ac:dyDescent="0.35">
      <c r="B67" s="2" t="s">
        <v>110</v>
      </c>
      <c r="C67" s="32">
        <v>0.25</v>
      </c>
    </row>
    <row r="69" spans="2:14" ht="19.5" customHeight="1" x14ac:dyDescent="0.35">
      <c r="B69" s="55" t="s">
        <v>111</v>
      </c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2:14" x14ac:dyDescent="0.35">
      <c r="B70" s="2" t="s">
        <v>112</v>
      </c>
      <c r="C70" s="27">
        <v>0.95</v>
      </c>
    </row>
    <row r="71" spans="2:14" x14ac:dyDescent="0.35">
      <c r="B71" s="2" t="s">
        <v>113</v>
      </c>
      <c r="C71" s="26">
        <v>0.05</v>
      </c>
    </row>
    <row r="72" spans="2:14" x14ac:dyDescent="0.35">
      <c r="B72" s="2" t="s">
        <v>114</v>
      </c>
      <c r="C72" s="18">
        <f>C70+C71</f>
        <v>1</v>
      </c>
    </row>
    <row r="73" spans="2:14" x14ac:dyDescent="0.35">
      <c r="B73" s="2" t="s">
        <v>115</v>
      </c>
      <c r="C73" s="27">
        <v>0.08</v>
      </c>
    </row>
    <row r="74" spans="2:14" x14ac:dyDescent="0.35">
      <c r="B74" s="2" t="s">
        <v>116</v>
      </c>
      <c r="C74" s="26">
        <v>0.8</v>
      </c>
    </row>
    <row r="75" spans="2:14" x14ac:dyDescent="0.35">
      <c r="B75" s="2" t="s">
        <v>117</v>
      </c>
      <c r="C75" s="27">
        <v>0.2</v>
      </c>
    </row>
    <row r="76" spans="2:14" x14ac:dyDescent="0.35">
      <c r="B76" s="2" t="s">
        <v>114</v>
      </c>
      <c r="C76" s="18">
        <f>C74+C75</f>
        <v>1</v>
      </c>
    </row>
  </sheetData>
  <mergeCells count="10">
    <mergeCell ref="B2:N2"/>
    <mergeCell ref="B3:N3"/>
    <mergeCell ref="B5:N5"/>
    <mergeCell ref="B15:N15"/>
    <mergeCell ref="B23:N23"/>
    <mergeCell ref="B33:N33"/>
    <mergeCell ref="B37:N37"/>
    <mergeCell ref="B46:N46"/>
    <mergeCell ref="B58:N58"/>
    <mergeCell ref="B69:N6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N64"/>
  <sheetViews>
    <sheetView showGridLines="0" zoomScaleNormal="100" workbookViewId="0">
      <pane xSplit="24" ySplit="9" topLeftCell="Y10" activePane="bottomRight" state="frozen"/>
      <selection pane="topRight" activeCell="Y1" sqref="Y1"/>
      <selection pane="bottomLeft" activeCell="A10" sqref="A10"/>
      <selection pane="bottomRight" activeCell="Y10" sqref="Y10"/>
    </sheetView>
  </sheetViews>
  <sheetFormatPr defaultColWidth="8.6328125" defaultRowHeight="14.5" x14ac:dyDescent="0.35"/>
  <cols>
    <col min="1" max="1" width="2" customWidth="1"/>
    <col min="2" max="2" width="10" customWidth="1"/>
    <col min="3" max="3" width="24" customWidth="1"/>
    <col min="4" max="4" width="11" customWidth="1"/>
    <col min="5" max="5" width="9" customWidth="1"/>
    <col min="6" max="7" width="11" customWidth="1"/>
    <col min="8" max="8" width="10" customWidth="1"/>
    <col min="9" max="9" width="13" customWidth="1"/>
    <col min="10" max="10" width="9" customWidth="1"/>
    <col min="11" max="12" width="10" customWidth="1"/>
    <col min="13" max="22" width="9" customWidth="1"/>
    <col min="23" max="143" width="10" customWidth="1"/>
  </cols>
  <sheetData>
    <row r="2" spans="2:144" ht="25.5" customHeight="1" x14ac:dyDescent="0.35">
      <c r="B2" s="56" t="s">
        <v>118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</row>
    <row r="3" spans="2:144" x14ac:dyDescent="0.35">
      <c r="B3" s="57" t="s">
        <v>119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</row>
    <row r="5" spans="2:144" x14ac:dyDescent="0.35">
      <c r="B5" s="5" t="s">
        <v>120</v>
      </c>
      <c r="Y5" s="33">
        <v>1</v>
      </c>
      <c r="Z5" s="33">
        <v>2</v>
      </c>
      <c r="AA5" s="33">
        <v>3</v>
      </c>
      <c r="AB5" s="33">
        <v>4</v>
      </c>
      <c r="AC5" s="33">
        <v>5</v>
      </c>
      <c r="AD5" s="33">
        <v>6</v>
      </c>
      <c r="AE5" s="33">
        <v>7</v>
      </c>
      <c r="AF5" s="33">
        <v>8</v>
      </c>
      <c r="AG5" s="33">
        <v>9</v>
      </c>
      <c r="AH5" s="33">
        <v>10</v>
      </c>
      <c r="AI5" s="33">
        <v>11</v>
      </c>
      <c r="AJ5" s="33">
        <v>12</v>
      </c>
      <c r="AK5" s="33">
        <v>13</v>
      </c>
      <c r="AL5" s="33">
        <v>14</v>
      </c>
      <c r="AM5" s="33">
        <v>15</v>
      </c>
      <c r="AN5" s="33">
        <v>16</v>
      </c>
      <c r="AO5" s="33">
        <v>17</v>
      </c>
      <c r="AP5" s="33">
        <v>18</v>
      </c>
      <c r="AQ5" s="33">
        <v>19</v>
      </c>
      <c r="AR5" s="33">
        <v>20</v>
      </c>
      <c r="AS5" s="33">
        <v>21</v>
      </c>
      <c r="AT5" s="33">
        <v>22</v>
      </c>
      <c r="AU5" s="33">
        <v>23</v>
      </c>
      <c r="AV5" s="33">
        <v>24</v>
      </c>
      <c r="AW5" s="33">
        <v>25</v>
      </c>
      <c r="AX5" s="33">
        <v>26</v>
      </c>
      <c r="AY5" s="33">
        <v>27</v>
      </c>
      <c r="AZ5" s="33">
        <v>28</v>
      </c>
      <c r="BA5" s="33">
        <v>29</v>
      </c>
      <c r="BB5" s="33">
        <v>30</v>
      </c>
      <c r="BC5" s="33">
        <v>31</v>
      </c>
      <c r="BD5" s="33">
        <v>32</v>
      </c>
      <c r="BE5" s="33">
        <v>33</v>
      </c>
      <c r="BF5" s="33">
        <v>34</v>
      </c>
      <c r="BG5" s="33">
        <v>35</v>
      </c>
      <c r="BH5" s="33">
        <v>36</v>
      </c>
      <c r="BI5" s="33">
        <v>37</v>
      </c>
      <c r="BJ5" s="33">
        <v>38</v>
      </c>
      <c r="BK5" s="33">
        <v>39</v>
      </c>
      <c r="BL5" s="33">
        <v>40</v>
      </c>
      <c r="BM5" s="33">
        <v>41</v>
      </c>
      <c r="BN5" s="33">
        <v>42</v>
      </c>
      <c r="BO5" s="33">
        <v>43</v>
      </c>
      <c r="BP5" s="33">
        <v>44</v>
      </c>
      <c r="BQ5" s="33">
        <v>45</v>
      </c>
      <c r="BR5" s="33">
        <v>46</v>
      </c>
      <c r="BS5" s="33">
        <v>47</v>
      </c>
      <c r="BT5" s="33">
        <v>48</v>
      </c>
      <c r="BU5" s="33">
        <v>49</v>
      </c>
      <c r="BV5" s="33">
        <v>50</v>
      </c>
      <c r="BW5" s="33">
        <v>51</v>
      </c>
      <c r="BX5" s="33">
        <v>52</v>
      </c>
      <c r="BY5" s="33">
        <v>53</v>
      </c>
      <c r="BZ5" s="33">
        <v>54</v>
      </c>
      <c r="CA5" s="33">
        <v>55</v>
      </c>
      <c r="CB5" s="33">
        <v>56</v>
      </c>
      <c r="CC5" s="33">
        <v>57</v>
      </c>
      <c r="CD5" s="33">
        <v>58</v>
      </c>
      <c r="CE5" s="33">
        <v>59</v>
      </c>
      <c r="CF5" s="33">
        <v>60</v>
      </c>
      <c r="CG5" s="33">
        <v>61</v>
      </c>
      <c r="CH5" s="33">
        <v>62</v>
      </c>
      <c r="CI5" s="33">
        <v>63</v>
      </c>
      <c r="CJ5" s="33">
        <v>64</v>
      </c>
      <c r="CK5" s="33">
        <v>65</v>
      </c>
      <c r="CL5" s="33">
        <v>66</v>
      </c>
      <c r="CM5" s="33">
        <v>67</v>
      </c>
      <c r="CN5" s="33">
        <v>68</v>
      </c>
      <c r="CO5" s="33">
        <v>69</v>
      </c>
      <c r="CP5" s="33">
        <v>70</v>
      </c>
      <c r="CQ5" s="33">
        <v>71</v>
      </c>
      <c r="CR5" s="33">
        <v>72</v>
      </c>
      <c r="CS5" s="33">
        <v>73</v>
      </c>
      <c r="CT5" s="33">
        <v>74</v>
      </c>
      <c r="CU5" s="33">
        <v>75</v>
      </c>
      <c r="CV5" s="33">
        <v>76</v>
      </c>
      <c r="CW5" s="33">
        <v>77</v>
      </c>
      <c r="CX5" s="33">
        <v>78</v>
      </c>
      <c r="CY5" s="33">
        <v>79</v>
      </c>
      <c r="CZ5" s="33">
        <v>80</v>
      </c>
      <c r="DA5" s="33">
        <v>81</v>
      </c>
      <c r="DB5" s="33">
        <v>82</v>
      </c>
      <c r="DC5" s="33">
        <v>83</v>
      </c>
      <c r="DD5" s="33">
        <v>84</v>
      </c>
      <c r="DE5" s="33">
        <v>85</v>
      </c>
      <c r="DF5" s="33">
        <v>86</v>
      </c>
      <c r="DG5" s="33">
        <v>87</v>
      </c>
      <c r="DH5" s="33">
        <v>88</v>
      </c>
      <c r="DI5" s="33">
        <v>89</v>
      </c>
      <c r="DJ5" s="33">
        <v>90</v>
      </c>
      <c r="DK5" s="33">
        <v>91</v>
      </c>
      <c r="DL5" s="33">
        <v>92</v>
      </c>
      <c r="DM5" s="33">
        <v>93</v>
      </c>
      <c r="DN5" s="33">
        <v>94</v>
      </c>
      <c r="DO5" s="33">
        <v>95</v>
      </c>
      <c r="DP5" s="33">
        <v>96</v>
      </c>
      <c r="DQ5" s="33">
        <v>97</v>
      </c>
      <c r="DR5" s="33">
        <v>98</v>
      </c>
      <c r="DS5" s="33">
        <v>99</v>
      </c>
      <c r="DT5" s="33">
        <v>100</v>
      </c>
      <c r="DU5" s="33">
        <v>101</v>
      </c>
      <c r="DV5" s="33">
        <v>102</v>
      </c>
      <c r="DW5" s="33">
        <v>103</v>
      </c>
      <c r="DX5" s="33">
        <v>104</v>
      </c>
      <c r="DY5" s="33">
        <v>105</v>
      </c>
      <c r="DZ5" s="33">
        <v>106</v>
      </c>
      <c r="EA5" s="33">
        <v>107</v>
      </c>
      <c r="EB5" s="33">
        <v>108</v>
      </c>
      <c r="EC5" s="33">
        <v>109</v>
      </c>
      <c r="ED5" s="33">
        <v>110</v>
      </c>
      <c r="EE5" s="33">
        <v>111</v>
      </c>
      <c r="EF5" s="33">
        <v>112</v>
      </c>
      <c r="EG5" s="33">
        <v>113</v>
      </c>
      <c r="EH5" s="33">
        <v>114</v>
      </c>
      <c r="EI5" s="33">
        <v>115</v>
      </c>
      <c r="EJ5" s="33">
        <v>116</v>
      </c>
      <c r="EK5" s="33">
        <v>117</v>
      </c>
      <c r="EL5" s="33">
        <v>118</v>
      </c>
      <c r="EM5" s="33">
        <v>119</v>
      </c>
      <c r="EN5" s="33">
        <v>120</v>
      </c>
    </row>
    <row r="6" spans="2:144" x14ac:dyDescent="0.35">
      <c r="B6" s="5" t="s">
        <v>121</v>
      </c>
      <c r="Y6" s="34">
        <f t="shared" ref="Y6:BD6" si="0">CEILING(Y5/12,1)</f>
        <v>1</v>
      </c>
      <c r="Z6" s="34">
        <f t="shared" si="0"/>
        <v>1</v>
      </c>
      <c r="AA6" s="34">
        <f t="shared" si="0"/>
        <v>1</v>
      </c>
      <c r="AB6" s="34">
        <f t="shared" si="0"/>
        <v>1</v>
      </c>
      <c r="AC6" s="34">
        <f t="shared" si="0"/>
        <v>1</v>
      </c>
      <c r="AD6" s="34">
        <f t="shared" si="0"/>
        <v>1</v>
      </c>
      <c r="AE6" s="34">
        <f t="shared" si="0"/>
        <v>1</v>
      </c>
      <c r="AF6" s="34">
        <f t="shared" si="0"/>
        <v>1</v>
      </c>
      <c r="AG6" s="34">
        <f t="shared" si="0"/>
        <v>1</v>
      </c>
      <c r="AH6" s="34">
        <f t="shared" si="0"/>
        <v>1</v>
      </c>
      <c r="AI6" s="34">
        <f t="shared" si="0"/>
        <v>1</v>
      </c>
      <c r="AJ6" s="34">
        <f t="shared" si="0"/>
        <v>1</v>
      </c>
      <c r="AK6" s="34">
        <f t="shared" si="0"/>
        <v>2</v>
      </c>
      <c r="AL6" s="34">
        <f t="shared" si="0"/>
        <v>2</v>
      </c>
      <c r="AM6" s="34">
        <f t="shared" si="0"/>
        <v>2</v>
      </c>
      <c r="AN6" s="34">
        <f t="shared" si="0"/>
        <v>2</v>
      </c>
      <c r="AO6" s="34">
        <f t="shared" si="0"/>
        <v>2</v>
      </c>
      <c r="AP6" s="34">
        <f t="shared" si="0"/>
        <v>2</v>
      </c>
      <c r="AQ6" s="34">
        <f t="shared" si="0"/>
        <v>2</v>
      </c>
      <c r="AR6" s="34">
        <f t="shared" si="0"/>
        <v>2</v>
      </c>
      <c r="AS6" s="34">
        <f t="shared" si="0"/>
        <v>2</v>
      </c>
      <c r="AT6" s="34">
        <f t="shared" si="0"/>
        <v>2</v>
      </c>
      <c r="AU6" s="34">
        <f t="shared" si="0"/>
        <v>2</v>
      </c>
      <c r="AV6" s="34">
        <f t="shared" si="0"/>
        <v>2</v>
      </c>
      <c r="AW6" s="34">
        <f t="shared" si="0"/>
        <v>3</v>
      </c>
      <c r="AX6" s="34">
        <f t="shared" si="0"/>
        <v>3</v>
      </c>
      <c r="AY6" s="34">
        <f t="shared" si="0"/>
        <v>3</v>
      </c>
      <c r="AZ6" s="34">
        <f t="shared" si="0"/>
        <v>3</v>
      </c>
      <c r="BA6" s="34">
        <f t="shared" si="0"/>
        <v>3</v>
      </c>
      <c r="BB6" s="34">
        <f t="shared" si="0"/>
        <v>3</v>
      </c>
      <c r="BC6" s="34">
        <f t="shared" si="0"/>
        <v>3</v>
      </c>
      <c r="BD6" s="34">
        <f t="shared" si="0"/>
        <v>3</v>
      </c>
      <c r="BE6" s="34">
        <f t="shared" ref="BE6:CJ6" si="1">CEILING(BE5/12,1)</f>
        <v>3</v>
      </c>
      <c r="BF6" s="34">
        <f t="shared" si="1"/>
        <v>3</v>
      </c>
      <c r="BG6" s="34">
        <f t="shared" si="1"/>
        <v>3</v>
      </c>
      <c r="BH6" s="34">
        <f t="shared" si="1"/>
        <v>3</v>
      </c>
      <c r="BI6" s="34">
        <f t="shared" si="1"/>
        <v>4</v>
      </c>
      <c r="BJ6" s="34">
        <f t="shared" si="1"/>
        <v>4</v>
      </c>
      <c r="BK6" s="34">
        <f t="shared" si="1"/>
        <v>4</v>
      </c>
      <c r="BL6" s="34">
        <f t="shared" si="1"/>
        <v>4</v>
      </c>
      <c r="BM6" s="34">
        <f t="shared" si="1"/>
        <v>4</v>
      </c>
      <c r="BN6" s="34">
        <f t="shared" si="1"/>
        <v>4</v>
      </c>
      <c r="BO6" s="34">
        <f t="shared" si="1"/>
        <v>4</v>
      </c>
      <c r="BP6" s="34">
        <f t="shared" si="1"/>
        <v>4</v>
      </c>
      <c r="BQ6" s="34">
        <f t="shared" si="1"/>
        <v>4</v>
      </c>
      <c r="BR6" s="34">
        <f t="shared" si="1"/>
        <v>4</v>
      </c>
      <c r="BS6" s="34">
        <f t="shared" si="1"/>
        <v>4</v>
      </c>
      <c r="BT6" s="34">
        <f t="shared" si="1"/>
        <v>4</v>
      </c>
      <c r="BU6" s="34">
        <f t="shared" si="1"/>
        <v>5</v>
      </c>
      <c r="BV6" s="34">
        <f t="shared" si="1"/>
        <v>5</v>
      </c>
      <c r="BW6" s="34">
        <f t="shared" si="1"/>
        <v>5</v>
      </c>
      <c r="BX6" s="34">
        <f t="shared" si="1"/>
        <v>5</v>
      </c>
      <c r="BY6" s="34">
        <f t="shared" si="1"/>
        <v>5</v>
      </c>
      <c r="BZ6" s="34">
        <f t="shared" si="1"/>
        <v>5</v>
      </c>
      <c r="CA6" s="34">
        <f t="shared" si="1"/>
        <v>5</v>
      </c>
      <c r="CB6" s="34">
        <f t="shared" si="1"/>
        <v>5</v>
      </c>
      <c r="CC6" s="34">
        <f t="shared" si="1"/>
        <v>5</v>
      </c>
      <c r="CD6" s="34">
        <f t="shared" si="1"/>
        <v>5</v>
      </c>
      <c r="CE6" s="34">
        <f t="shared" si="1"/>
        <v>5</v>
      </c>
      <c r="CF6" s="34">
        <f t="shared" si="1"/>
        <v>5</v>
      </c>
      <c r="CG6" s="34">
        <f t="shared" si="1"/>
        <v>6</v>
      </c>
      <c r="CH6" s="34">
        <f t="shared" si="1"/>
        <v>6</v>
      </c>
      <c r="CI6" s="34">
        <f t="shared" si="1"/>
        <v>6</v>
      </c>
      <c r="CJ6" s="34">
        <f t="shared" si="1"/>
        <v>6</v>
      </c>
      <c r="CK6" s="34">
        <f t="shared" ref="CK6:DP6" si="2">CEILING(CK5/12,1)</f>
        <v>6</v>
      </c>
      <c r="CL6" s="34">
        <f t="shared" si="2"/>
        <v>6</v>
      </c>
      <c r="CM6" s="34">
        <f t="shared" si="2"/>
        <v>6</v>
      </c>
      <c r="CN6" s="34">
        <f t="shared" si="2"/>
        <v>6</v>
      </c>
      <c r="CO6" s="34">
        <f t="shared" si="2"/>
        <v>6</v>
      </c>
      <c r="CP6" s="34">
        <f t="shared" si="2"/>
        <v>6</v>
      </c>
      <c r="CQ6" s="34">
        <f t="shared" si="2"/>
        <v>6</v>
      </c>
      <c r="CR6" s="34">
        <f t="shared" si="2"/>
        <v>6</v>
      </c>
      <c r="CS6" s="34">
        <f t="shared" si="2"/>
        <v>7</v>
      </c>
      <c r="CT6" s="34">
        <f t="shared" si="2"/>
        <v>7</v>
      </c>
      <c r="CU6" s="34">
        <f t="shared" si="2"/>
        <v>7</v>
      </c>
      <c r="CV6" s="34">
        <f t="shared" si="2"/>
        <v>7</v>
      </c>
      <c r="CW6" s="34">
        <f t="shared" si="2"/>
        <v>7</v>
      </c>
      <c r="CX6" s="34">
        <f t="shared" si="2"/>
        <v>7</v>
      </c>
      <c r="CY6" s="34">
        <f t="shared" si="2"/>
        <v>7</v>
      </c>
      <c r="CZ6" s="34">
        <f t="shared" si="2"/>
        <v>7</v>
      </c>
      <c r="DA6" s="34">
        <f t="shared" si="2"/>
        <v>7</v>
      </c>
      <c r="DB6" s="34">
        <f t="shared" si="2"/>
        <v>7</v>
      </c>
      <c r="DC6" s="34">
        <f t="shared" si="2"/>
        <v>7</v>
      </c>
      <c r="DD6" s="34">
        <f t="shared" si="2"/>
        <v>7</v>
      </c>
      <c r="DE6" s="34">
        <f t="shared" si="2"/>
        <v>8</v>
      </c>
      <c r="DF6" s="34">
        <f t="shared" si="2"/>
        <v>8</v>
      </c>
      <c r="DG6" s="34">
        <f t="shared" si="2"/>
        <v>8</v>
      </c>
      <c r="DH6" s="34">
        <f t="shared" si="2"/>
        <v>8</v>
      </c>
      <c r="DI6" s="34">
        <f t="shared" si="2"/>
        <v>8</v>
      </c>
      <c r="DJ6" s="34">
        <f t="shared" si="2"/>
        <v>8</v>
      </c>
      <c r="DK6" s="34">
        <f t="shared" si="2"/>
        <v>8</v>
      </c>
      <c r="DL6" s="34">
        <f t="shared" si="2"/>
        <v>8</v>
      </c>
      <c r="DM6" s="34">
        <f t="shared" si="2"/>
        <v>8</v>
      </c>
      <c r="DN6" s="34">
        <f t="shared" si="2"/>
        <v>8</v>
      </c>
      <c r="DO6" s="34">
        <f t="shared" si="2"/>
        <v>8</v>
      </c>
      <c r="DP6" s="34">
        <f t="shared" si="2"/>
        <v>8</v>
      </c>
      <c r="DQ6" s="34">
        <f t="shared" ref="DQ6:EN6" si="3">CEILING(DQ5/12,1)</f>
        <v>9</v>
      </c>
      <c r="DR6" s="34">
        <f t="shared" si="3"/>
        <v>9</v>
      </c>
      <c r="DS6" s="34">
        <f t="shared" si="3"/>
        <v>9</v>
      </c>
      <c r="DT6" s="34">
        <f t="shared" si="3"/>
        <v>9</v>
      </c>
      <c r="DU6" s="34">
        <f t="shared" si="3"/>
        <v>9</v>
      </c>
      <c r="DV6" s="34">
        <f t="shared" si="3"/>
        <v>9</v>
      </c>
      <c r="DW6" s="34">
        <f t="shared" si="3"/>
        <v>9</v>
      </c>
      <c r="DX6" s="34">
        <f t="shared" si="3"/>
        <v>9</v>
      </c>
      <c r="DY6" s="34">
        <f t="shared" si="3"/>
        <v>9</v>
      </c>
      <c r="DZ6" s="34">
        <f t="shared" si="3"/>
        <v>9</v>
      </c>
      <c r="EA6" s="34">
        <f t="shared" si="3"/>
        <v>9</v>
      </c>
      <c r="EB6" s="34">
        <f t="shared" si="3"/>
        <v>9</v>
      </c>
      <c r="EC6" s="34">
        <f t="shared" si="3"/>
        <v>10</v>
      </c>
      <c r="ED6" s="34">
        <f t="shared" si="3"/>
        <v>10</v>
      </c>
      <c r="EE6" s="34">
        <f t="shared" si="3"/>
        <v>10</v>
      </c>
      <c r="EF6" s="34">
        <f t="shared" si="3"/>
        <v>10</v>
      </c>
      <c r="EG6" s="34">
        <f t="shared" si="3"/>
        <v>10</v>
      </c>
      <c r="EH6" s="34">
        <f t="shared" si="3"/>
        <v>10</v>
      </c>
      <c r="EI6" s="34">
        <f t="shared" si="3"/>
        <v>10</v>
      </c>
      <c r="EJ6" s="34">
        <f t="shared" si="3"/>
        <v>10</v>
      </c>
      <c r="EK6" s="34">
        <f t="shared" si="3"/>
        <v>10</v>
      </c>
      <c r="EL6" s="34">
        <f t="shared" si="3"/>
        <v>10</v>
      </c>
      <c r="EM6" s="34">
        <f t="shared" si="3"/>
        <v>10</v>
      </c>
      <c r="EN6" s="34">
        <f t="shared" si="3"/>
        <v>10</v>
      </c>
    </row>
    <row r="7" spans="2:144" x14ac:dyDescent="0.35">
      <c r="B7" s="5" t="s">
        <v>122</v>
      </c>
      <c r="Y7" s="31">
        <f t="shared" ref="Y7:BD7" si="4">INDEX(MktRentSchedule,Y6)</f>
        <v>10</v>
      </c>
      <c r="Z7" s="31">
        <f t="shared" si="4"/>
        <v>10</v>
      </c>
      <c r="AA7" s="31">
        <f t="shared" si="4"/>
        <v>10</v>
      </c>
      <c r="AB7" s="31">
        <f t="shared" si="4"/>
        <v>10</v>
      </c>
      <c r="AC7" s="31">
        <f t="shared" si="4"/>
        <v>10</v>
      </c>
      <c r="AD7" s="31">
        <f t="shared" si="4"/>
        <v>10</v>
      </c>
      <c r="AE7" s="31">
        <f t="shared" si="4"/>
        <v>10</v>
      </c>
      <c r="AF7" s="31">
        <f t="shared" si="4"/>
        <v>10</v>
      </c>
      <c r="AG7" s="31">
        <f t="shared" si="4"/>
        <v>10</v>
      </c>
      <c r="AH7" s="31">
        <f t="shared" si="4"/>
        <v>10</v>
      </c>
      <c r="AI7" s="31">
        <f t="shared" si="4"/>
        <v>10</v>
      </c>
      <c r="AJ7" s="31">
        <f t="shared" si="4"/>
        <v>10</v>
      </c>
      <c r="AK7" s="31">
        <f t="shared" si="4"/>
        <v>10.600000000000001</v>
      </c>
      <c r="AL7" s="31">
        <f t="shared" si="4"/>
        <v>10.600000000000001</v>
      </c>
      <c r="AM7" s="31">
        <f t="shared" si="4"/>
        <v>10.600000000000001</v>
      </c>
      <c r="AN7" s="31">
        <f t="shared" si="4"/>
        <v>10.600000000000001</v>
      </c>
      <c r="AO7" s="31">
        <f t="shared" si="4"/>
        <v>10.600000000000001</v>
      </c>
      <c r="AP7" s="31">
        <f t="shared" si="4"/>
        <v>10.600000000000001</v>
      </c>
      <c r="AQ7" s="31">
        <f t="shared" si="4"/>
        <v>10.600000000000001</v>
      </c>
      <c r="AR7" s="31">
        <f t="shared" si="4"/>
        <v>10.600000000000001</v>
      </c>
      <c r="AS7" s="31">
        <f t="shared" si="4"/>
        <v>10.600000000000001</v>
      </c>
      <c r="AT7" s="31">
        <f t="shared" si="4"/>
        <v>10.600000000000001</v>
      </c>
      <c r="AU7" s="31">
        <f t="shared" si="4"/>
        <v>10.600000000000001</v>
      </c>
      <c r="AV7" s="31">
        <f t="shared" si="4"/>
        <v>10.600000000000001</v>
      </c>
      <c r="AW7" s="31">
        <f t="shared" si="4"/>
        <v>11.077</v>
      </c>
      <c r="AX7" s="31">
        <f t="shared" si="4"/>
        <v>11.077</v>
      </c>
      <c r="AY7" s="31">
        <f t="shared" si="4"/>
        <v>11.077</v>
      </c>
      <c r="AZ7" s="31">
        <f t="shared" si="4"/>
        <v>11.077</v>
      </c>
      <c r="BA7" s="31">
        <f t="shared" si="4"/>
        <v>11.077</v>
      </c>
      <c r="BB7" s="31">
        <f t="shared" si="4"/>
        <v>11.077</v>
      </c>
      <c r="BC7" s="31">
        <f t="shared" si="4"/>
        <v>11.077</v>
      </c>
      <c r="BD7" s="31">
        <f t="shared" si="4"/>
        <v>11.077</v>
      </c>
      <c r="BE7" s="31">
        <f t="shared" ref="BE7:CJ7" si="5">INDEX(MktRentSchedule,BE6)</f>
        <v>11.077</v>
      </c>
      <c r="BF7" s="31">
        <f t="shared" si="5"/>
        <v>11.077</v>
      </c>
      <c r="BG7" s="31">
        <f t="shared" si="5"/>
        <v>11.077</v>
      </c>
      <c r="BH7" s="31">
        <f t="shared" si="5"/>
        <v>11.077</v>
      </c>
      <c r="BI7" s="31">
        <f t="shared" si="5"/>
        <v>11.575464999999999</v>
      </c>
      <c r="BJ7" s="31">
        <f t="shared" si="5"/>
        <v>11.575464999999999</v>
      </c>
      <c r="BK7" s="31">
        <f t="shared" si="5"/>
        <v>11.575464999999999</v>
      </c>
      <c r="BL7" s="31">
        <f t="shared" si="5"/>
        <v>11.575464999999999</v>
      </c>
      <c r="BM7" s="31">
        <f t="shared" si="5"/>
        <v>11.575464999999999</v>
      </c>
      <c r="BN7" s="31">
        <f t="shared" si="5"/>
        <v>11.575464999999999</v>
      </c>
      <c r="BO7" s="31">
        <f t="shared" si="5"/>
        <v>11.575464999999999</v>
      </c>
      <c r="BP7" s="31">
        <f t="shared" si="5"/>
        <v>11.575464999999999</v>
      </c>
      <c r="BQ7" s="31">
        <f t="shared" si="5"/>
        <v>11.575464999999999</v>
      </c>
      <c r="BR7" s="31">
        <f t="shared" si="5"/>
        <v>11.575464999999999</v>
      </c>
      <c r="BS7" s="31">
        <f t="shared" si="5"/>
        <v>11.575464999999999</v>
      </c>
      <c r="BT7" s="31">
        <f t="shared" si="5"/>
        <v>11.575464999999999</v>
      </c>
      <c r="BU7" s="31">
        <f t="shared" si="5"/>
        <v>11.980606274999998</v>
      </c>
      <c r="BV7" s="31">
        <f t="shared" si="5"/>
        <v>11.980606274999998</v>
      </c>
      <c r="BW7" s="31">
        <f t="shared" si="5"/>
        <v>11.980606274999998</v>
      </c>
      <c r="BX7" s="31">
        <f t="shared" si="5"/>
        <v>11.980606274999998</v>
      </c>
      <c r="BY7" s="31">
        <f t="shared" si="5"/>
        <v>11.980606274999998</v>
      </c>
      <c r="BZ7" s="31">
        <f t="shared" si="5"/>
        <v>11.980606274999998</v>
      </c>
      <c r="CA7" s="31">
        <f t="shared" si="5"/>
        <v>11.980606274999998</v>
      </c>
      <c r="CB7" s="31">
        <f t="shared" si="5"/>
        <v>11.980606274999998</v>
      </c>
      <c r="CC7" s="31">
        <f t="shared" si="5"/>
        <v>11.980606274999998</v>
      </c>
      <c r="CD7" s="31">
        <f t="shared" si="5"/>
        <v>11.980606274999998</v>
      </c>
      <c r="CE7" s="31">
        <f t="shared" si="5"/>
        <v>11.980606274999998</v>
      </c>
      <c r="CF7" s="31">
        <f t="shared" si="5"/>
        <v>11.980606274999998</v>
      </c>
      <c r="CG7" s="31">
        <f t="shared" si="5"/>
        <v>12.375966282074996</v>
      </c>
      <c r="CH7" s="31">
        <f t="shared" si="5"/>
        <v>12.375966282074996</v>
      </c>
      <c r="CI7" s="31">
        <f t="shared" si="5"/>
        <v>12.375966282074996</v>
      </c>
      <c r="CJ7" s="31">
        <f t="shared" si="5"/>
        <v>12.375966282074996</v>
      </c>
      <c r="CK7" s="31">
        <f t="shared" ref="CK7:DP7" si="6">INDEX(MktRentSchedule,CK6)</f>
        <v>12.375966282074996</v>
      </c>
      <c r="CL7" s="31">
        <f t="shared" si="6"/>
        <v>12.375966282074996</v>
      </c>
      <c r="CM7" s="31">
        <f t="shared" si="6"/>
        <v>12.375966282074996</v>
      </c>
      <c r="CN7" s="31">
        <f t="shared" si="6"/>
        <v>12.375966282074996</v>
      </c>
      <c r="CO7" s="31">
        <f t="shared" si="6"/>
        <v>12.375966282074996</v>
      </c>
      <c r="CP7" s="31">
        <f t="shared" si="6"/>
        <v>12.375966282074996</v>
      </c>
      <c r="CQ7" s="31">
        <f t="shared" si="6"/>
        <v>12.375966282074996</v>
      </c>
      <c r="CR7" s="31">
        <f t="shared" si="6"/>
        <v>12.375966282074996</v>
      </c>
      <c r="CS7" s="31">
        <f t="shared" si="6"/>
        <v>12.747245270537247</v>
      </c>
      <c r="CT7" s="31">
        <f t="shared" si="6"/>
        <v>12.747245270537247</v>
      </c>
      <c r="CU7" s="31">
        <f t="shared" si="6"/>
        <v>12.747245270537247</v>
      </c>
      <c r="CV7" s="31">
        <f t="shared" si="6"/>
        <v>12.747245270537247</v>
      </c>
      <c r="CW7" s="31">
        <f t="shared" si="6"/>
        <v>12.747245270537247</v>
      </c>
      <c r="CX7" s="31">
        <f t="shared" si="6"/>
        <v>12.747245270537247</v>
      </c>
      <c r="CY7" s="31">
        <f t="shared" si="6"/>
        <v>12.747245270537247</v>
      </c>
      <c r="CZ7" s="31">
        <f t="shared" si="6"/>
        <v>12.747245270537247</v>
      </c>
      <c r="DA7" s="31">
        <f t="shared" si="6"/>
        <v>12.747245270537247</v>
      </c>
      <c r="DB7" s="31">
        <f t="shared" si="6"/>
        <v>12.747245270537247</v>
      </c>
      <c r="DC7" s="31">
        <f t="shared" si="6"/>
        <v>12.747245270537247</v>
      </c>
      <c r="DD7" s="31">
        <f t="shared" si="6"/>
        <v>12.747245270537247</v>
      </c>
      <c r="DE7" s="31">
        <f t="shared" si="6"/>
        <v>13.129662628653366</v>
      </c>
      <c r="DF7" s="31">
        <f t="shared" si="6"/>
        <v>13.129662628653366</v>
      </c>
      <c r="DG7" s="31">
        <f t="shared" si="6"/>
        <v>13.129662628653366</v>
      </c>
      <c r="DH7" s="31">
        <f t="shared" si="6"/>
        <v>13.129662628653366</v>
      </c>
      <c r="DI7" s="31">
        <f t="shared" si="6"/>
        <v>13.129662628653366</v>
      </c>
      <c r="DJ7" s="31">
        <f t="shared" si="6"/>
        <v>13.129662628653366</v>
      </c>
      <c r="DK7" s="31">
        <f t="shared" si="6"/>
        <v>13.129662628653366</v>
      </c>
      <c r="DL7" s="31">
        <f t="shared" si="6"/>
        <v>13.129662628653366</v>
      </c>
      <c r="DM7" s="31">
        <f t="shared" si="6"/>
        <v>13.129662628653366</v>
      </c>
      <c r="DN7" s="31">
        <f t="shared" si="6"/>
        <v>13.129662628653366</v>
      </c>
      <c r="DO7" s="31">
        <f t="shared" si="6"/>
        <v>13.129662628653366</v>
      </c>
      <c r="DP7" s="31">
        <f t="shared" si="6"/>
        <v>13.129662628653366</v>
      </c>
      <c r="DQ7" s="31">
        <f t="shared" ref="DQ7:EN7" si="7">INDEX(MktRentSchedule,DQ6)</f>
        <v>13.523552507512967</v>
      </c>
      <c r="DR7" s="31">
        <f t="shared" si="7"/>
        <v>13.523552507512967</v>
      </c>
      <c r="DS7" s="31">
        <f t="shared" si="7"/>
        <v>13.523552507512967</v>
      </c>
      <c r="DT7" s="31">
        <f t="shared" si="7"/>
        <v>13.523552507512967</v>
      </c>
      <c r="DU7" s="31">
        <f t="shared" si="7"/>
        <v>13.523552507512967</v>
      </c>
      <c r="DV7" s="31">
        <f t="shared" si="7"/>
        <v>13.523552507512967</v>
      </c>
      <c r="DW7" s="31">
        <f t="shared" si="7"/>
        <v>13.523552507512967</v>
      </c>
      <c r="DX7" s="31">
        <f t="shared" si="7"/>
        <v>13.523552507512967</v>
      </c>
      <c r="DY7" s="31">
        <f t="shared" si="7"/>
        <v>13.523552507512967</v>
      </c>
      <c r="DZ7" s="31">
        <f t="shared" si="7"/>
        <v>13.523552507512967</v>
      </c>
      <c r="EA7" s="31">
        <f t="shared" si="7"/>
        <v>13.523552507512967</v>
      </c>
      <c r="EB7" s="31">
        <f t="shared" si="7"/>
        <v>13.523552507512967</v>
      </c>
      <c r="EC7" s="31">
        <f t="shared" si="7"/>
        <v>13.929259082738357</v>
      </c>
      <c r="ED7" s="31">
        <f t="shared" si="7"/>
        <v>13.929259082738357</v>
      </c>
      <c r="EE7" s="31">
        <f t="shared" si="7"/>
        <v>13.929259082738357</v>
      </c>
      <c r="EF7" s="31">
        <f t="shared" si="7"/>
        <v>13.929259082738357</v>
      </c>
      <c r="EG7" s="31">
        <f t="shared" si="7"/>
        <v>13.929259082738357</v>
      </c>
      <c r="EH7" s="31">
        <f t="shared" si="7"/>
        <v>13.929259082738357</v>
      </c>
      <c r="EI7" s="31">
        <f t="shared" si="7"/>
        <v>13.929259082738357</v>
      </c>
      <c r="EJ7" s="31">
        <f t="shared" si="7"/>
        <v>13.929259082738357</v>
      </c>
      <c r="EK7" s="31">
        <f t="shared" si="7"/>
        <v>13.929259082738357</v>
      </c>
      <c r="EL7" s="31">
        <f t="shared" si="7"/>
        <v>13.929259082738357</v>
      </c>
      <c r="EM7" s="31">
        <f t="shared" si="7"/>
        <v>13.929259082738357</v>
      </c>
      <c r="EN7" s="31">
        <f t="shared" si="7"/>
        <v>13.929259082738357</v>
      </c>
    </row>
    <row r="9" spans="2:144" ht="30" customHeight="1" x14ac:dyDescent="0.35">
      <c r="B9" s="35" t="s">
        <v>123</v>
      </c>
      <c r="C9" s="35" t="s">
        <v>124</v>
      </c>
      <c r="D9" s="35" t="s">
        <v>125</v>
      </c>
      <c r="E9" s="35" t="s">
        <v>126</v>
      </c>
      <c r="F9" s="35" t="s">
        <v>127</v>
      </c>
      <c r="G9" s="35" t="s">
        <v>128</v>
      </c>
      <c r="H9" s="35" t="s">
        <v>129</v>
      </c>
      <c r="I9" s="35" t="s">
        <v>130</v>
      </c>
      <c r="J9" s="35" t="s">
        <v>131</v>
      </c>
      <c r="K9" s="35" t="s">
        <v>132</v>
      </c>
      <c r="L9" s="35" t="s">
        <v>133</v>
      </c>
      <c r="M9" s="35" t="s">
        <v>134</v>
      </c>
      <c r="N9" s="36" t="s">
        <v>135</v>
      </c>
      <c r="O9" s="36" t="s">
        <v>136</v>
      </c>
      <c r="P9" s="36" t="s">
        <v>137</v>
      </c>
      <c r="Q9" s="36" t="s">
        <v>138</v>
      </c>
      <c r="R9" s="36" t="s">
        <v>139</v>
      </c>
      <c r="S9" s="36" t="s">
        <v>140</v>
      </c>
      <c r="T9" s="36" t="s">
        <v>141</v>
      </c>
      <c r="U9" s="36" t="s">
        <v>142</v>
      </c>
      <c r="V9" s="36" t="s">
        <v>363</v>
      </c>
      <c r="W9" s="36" t="s">
        <v>364</v>
      </c>
      <c r="X9" s="36" t="s">
        <v>143</v>
      </c>
      <c r="Y9" s="35" t="s">
        <v>144</v>
      </c>
      <c r="Z9" s="35" t="s">
        <v>145</v>
      </c>
      <c r="AA9" s="35" t="s">
        <v>146</v>
      </c>
      <c r="AB9" s="35" t="s">
        <v>147</v>
      </c>
      <c r="AC9" s="35" t="s">
        <v>148</v>
      </c>
      <c r="AD9" s="35" t="s">
        <v>149</v>
      </c>
      <c r="AE9" s="35" t="s">
        <v>150</v>
      </c>
      <c r="AF9" s="35" t="s">
        <v>151</v>
      </c>
      <c r="AG9" s="35" t="s">
        <v>152</v>
      </c>
      <c r="AH9" s="35" t="s">
        <v>153</v>
      </c>
      <c r="AI9" s="35" t="s">
        <v>154</v>
      </c>
      <c r="AJ9" s="35" t="s">
        <v>155</v>
      </c>
      <c r="AK9" s="35" t="s">
        <v>156</v>
      </c>
      <c r="AL9" s="35" t="s">
        <v>157</v>
      </c>
      <c r="AM9" s="35" t="s">
        <v>158</v>
      </c>
      <c r="AN9" s="35" t="s">
        <v>159</v>
      </c>
      <c r="AO9" s="35" t="s">
        <v>160</v>
      </c>
      <c r="AP9" s="35" t="s">
        <v>161</v>
      </c>
      <c r="AQ9" s="35" t="s">
        <v>162</v>
      </c>
      <c r="AR9" s="35" t="s">
        <v>163</v>
      </c>
      <c r="AS9" s="35" t="s">
        <v>164</v>
      </c>
      <c r="AT9" s="35" t="s">
        <v>165</v>
      </c>
      <c r="AU9" s="35" t="s">
        <v>166</v>
      </c>
      <c r="AV9" s="35" t="s">
        <v>167</v>
      </c>
      <c r="AW9" s="35" t="s">
        <v>168</v>
      </c>
      <c r="AX9" s="35" t="s">
        <v>169</v>
      </c>
      <c r="AY9" s="35" t="s">
        <v>170</v>
      </c>
      <c r="AZ9" s="35" t="s">
        <v>171</v>
      </c>
      <c r="BA9" s="35" t="s">
        <v>172</v>
      </c>
      <c r="BB9" s="35" t="s">
        <v>173</v>
      </c>
      <c r="BC9" s="35" t="s">
        <v>174</v>
      </c>
      <c r="BD9" s="35" t="s">
        <v>175</v>
      </c>
      <c r="BE9" s="35" t="s">
        <v>176</v>
      </c>
      <c r="BF9" s="35" t="s">
        <v>177</v>
      </c>
      <c r="BG9" s="35" t="s">
        <v>178</v>
      </c>
      <c r="BH9" s="35" t="s">
        <v>179</v>
      </c>
      <c r="BI9" s="35" t="s">
        <v>180</v>
      </c>
      <c r="BJ9" s="35" t="s">
        <v>181</v>
      </c>
      <c r="BK9" s="35" t="s">
        <v>182</v>
      </c>
      <c r="BL9" s="35" t="s">
        <v>183</v>
      </c>
      <c r="BM9" s="35" t="s">
        <v>184</v>
      </c>
      <c r="BN9" s="35" t="s">
        <v>185</v>
      </c>
      <c r="BO9" s="35" t="s">
        <v>186</v>
      </c>
      <c r="BP9" s="35" t="s">
        <v>187</v>
      </c>
      <c r="BQ9" s="35" t="s">
        <v>188</v>
      </c>
      <c r="BR9" s="35" t="s">
        <v>189</v>
      </c>
      <c r="BS9" s="35" t="s">
        <v>190</v>
      </c>
      <c r="BT9" s="35" t="s">
        <v>191</v>
      </c>
      <c r="BU9" s="35" t="s">
        <v>192</v>
      </c>
      <c r="BV9" s="35" t="s">
        <v>193</v>
      </c>
      <c r="BW9" s="35" t="s">
        <v>194</v>
      </c>
      <c r="BX9" s="35" t="s">
        <v>195</v>
      </c>
      <c r="BY9" s="35" t="s">
        <v>196</v>
      </c>
      <c r="BZ9" s="35" t="s">
        <v>197</v>
      </c>
      <c r="CA9" s="35" t="s">
        <v>198</v>
      </c>
      <c r="CB9" s="35" t="s">
        <v>199</v>
      </c>
      <c r="CC9" s="35" t="s">
        <v>200</v>
      </c>
      <c r="CD9" s="35" t="s">
        <v>201</v>
      </c>
      <c r="CE9" s="35" t="s">
        <v>202</v>
      </c>
      <c r="CF9" s="35" t="s">
        <v>203</v>
      </c>
      <c r="CG9" s="35" t="s">
        <v>204</v>
      </c>
      <c r="CH9" s="35" t="s">
        <v>205</v>
      </c>
      <c r="CI9" s="35" t="s">
        <v>206</v>
      </c>
      <c r="CJ9" s="35" t="s">
        <v>207</v>
      </c>
      <c r="CK9" s="35" t="s">
        <v>208</v>
      </c>
      <c r="CL9" s="35" t="s">
        <v>209</v>
      </c>
      <c r="CM9" s="35" t="s">
        <v>210</v>
      </c>
      <c r="CN9" s="35" t="s">
        <v>211</v>
      </c>
      <c r="CO9" s="35" t="s">
        <v>212</v>
      </c>
      <c r="CP9" s="35" t="s">
        <v>213</v>
      </c>
      <c r="CQ9" s="35" t="s">
        <v>214</v>
      </c>
      <c r="CR9" s="35" t="s">
        <v>215</v>
      </c>
      <c r="CS9" s="35" t="s">
        <v>216</v>
      </c>
      <c r="CT9" s="35" t="s">
        <v>217</v>
      </c>
      <c r="CU9" s="35" t="s">
        <v>218</v>
      </c>
      <c r="CV9" s="35" t="s">
        <v>219</v>
      </c>
      <c r="CW9" s="35" t="s">
        <v>220</v>
      </c>
      <c r="CX9" s="35" t="s">
        <v>221</v>
      </c>
      <c r="CY9" s="35" t="s">
        <v>222</v>
      </c>
      <c r="CZ9" s="35" t="s">
        <v>223</v>
      </c>
      <c r="DA9" s="35" t="s">
        <v>224</v>
      </c>
      <c r="DB9" s="35" t="s">
        <v>225</v>
      </c>
      <c r="DC9" s="35" t="s">
        <v>226</v>
      </c>
      <c r="DD9" s="35" t="s">
        <v>227</v>
      </c>
      <c r="DE9" s="35" t="s">
        <v>228</v>
      </c>
      <c r="DF9" s="35" t="s">
        <v>229</v>
      </c>
      <c r="DG9" s="35" t="s">
        <v>230</v>
      </c>
      <c r="DH9" s="35" t="s">
        <v>231</v>
      </c>
      <c r="DI9" s="35" t="s">
        <v>232</v>
      </c>
      <c r="DJ9" s="35" t="s">
        <v>233</v>
      </c>
      <c r="DK9" s="35" t="s">
        <v>234</v>
      </c>
      <c r="DL9" s="35" t="s">
        <v>235</v>
      </c>
      <c r="DM9" s="35" t="s">
        <v>236</v>
      </c>
      <c r="DN9" s="35" t="s">
        <v>237</v>
      </c>
      <c r="DO9" s="35" t="s">
        <v>238</v>
      </c>
      <c r="DP9" s="35" t="s">
        <v>239</v>
      </c>
      <c r="DQ9" s="35" t="s">
        <v>240</v>
      </c>
      <c r="DR9" s="35" t="s">
        <v>241</v>
      </c>
      <c r="DS9" s="35" t="s">
        <v>242</v>
      </c>
      <c r="DT9" s="35" t="s">
        <v>243</v>
      </c>
      <c r="DU9" s="35" t="s">
        <v>244</v>
      </c>
      <c r="DV9" s="35" t="s">
        <v>245</v>
      </c>
      <c r="DW9" s="35" t="s">
        <v>246</v>
      </c>
      <c r="DX9" s="35" t="s">
        <v>247</v>
      </c>
      <c r="DY9" s="35" t="s">
        <v>248</v>
      </c>
      <c r="DZ9" s="35" t="s">
        <v>249</v>
      </c>
      <c r="EA9" s="35" t="s">
        <v>250</v>
      </c>
      <c r="EB9" s="35" t="s">
        <v>251</v>
      </c>
      <c r="EC9" s="35" t="s">
        <v>252</v>
      </c>
      <c r="ED9" s="35" t="s">
        <v>253</v>
      </c>
      <c r="EE9" s="35" t="s">
        <v>254</v>
      </c>
      <c r="EF9" s="35" t="s">
        <v>255</v>
      </c>
      <c r="EG9" s="35" t="s">
        <v>256</v>
      </c>
      <c r="EH9" s="35" t="s">
        <v>257</v>
      </c>
      <c r="EI9" s="35" t="s">
        <v>258</v>
      </c>
      <c r="EJ9" s="35" t="s">
        <v>259</v>
      </c>
      <c r="EK9" s="35" t="s">
        <v>260</v>
      </c>
      <c r="EL9" s="35" t="s">
        <v>261</v>
      </c>
      <c r="EM9" s="35" t="s">
        <v>262</v>
      </c>
      <c r="EN9" s="35" t="s">
        <v>263</v>
      </c>
    </row>
    <row r="10" spans="2:144" x14ac:dyDescent="0.35">
      <c r="B10" s="37" t="s">
        <v>264</v>
      </c>
      <c r="C10" s="19" t="s">
        <v>265</v>
      </c>
      <c r="D10" s="20">
        <v>14400</v>
      </c>
      <c r="E10" s="18">
        <f t="shared" ref="E10:E41" si="8">IFERROR(D10/TotalSF,0)</f>
        <v>1.1873350923482849E-2</v>
      </c>
      <c r="F10" s="38">
        <v>43770</v>
      </c>
      <c r="G10" s="38">
        <v>46357</v>
      </c>
      <c r="H10" s="32">
        <v>10.71</v>
      </c>
      <c r="I10" s="28">
        <f t="shared" ref="I10:I41" si="9">IFERROR(D10*H10,0)</f>
        <v>154224</v>
      </c>
      <c r="J10" s="26">
        <v>0.03</v>
      </c>
      <c r="K10" s="37" t="s">
        <v>266</v>
      </c>
      <c r="L10" s="32">
        <v>13</v>
      </c>
      <c r="M10" s="37" t="s">
        <v>267</v>
      </c>
      <c r="N10" s="39">
        <f t="shared" ref="N10:N41" si="10">IF(F10="",0,(YEAR(F10)-YEAR(AnalysisStart))*12+(MONTH(F10)-MONTH(AnalysisStart))+1)</f>
        <v>-49</v>
      </c>
      <c r="O10" s="39">
        <f t="shared" ref="O10:O41" si="11">IF(G10="",0,(YEAR(G10)-YEAR(AnalysisStart))*12+(MONTH(G10)-MONTH(AnalysisStart))+1)</f>
        <v>36</v>
      </c>
      <c r="P10" s="39">
        <f t="shared" ref="P10:P41" si="12">IF(D10="",0,MAX(1,O10+1))</f>
        <v>37</v>
      </c>
      <c r="Q10" s="39">
        <f t="shared" ref="Q10:Q41" si="13">IF(D10="",0,Downtime_Ren*Retention_Ratio+Downtime_New*(1-Retention_Ratio))</f>
        <v>3</v>
      </c>
      <c r="R10" s="39">
        <f t="shared" ref="R10:R41" si="14">IF(D10="",0,MIN(120,P10+Q10))</f>
        <v>40</v>
      </c>
      <c r="S10" s="39">
        <f t="shared" ref="S10:S41" si="15">IF(D10="",0,FreeRent_New*(1-Retention_Ratio)+FreeRent_Ren*Retention_Ratio)</f>
        <v>1</v>
      </c>
      <c r="T10" s="39">
        <f t="shared" ref="T10:T41" si="16">IF(D10="",0,MIN(121,R10+S10))</f>
        <v>41</v>
      </c>
      <c r="U10" s="39">
        <f t="shared" ref="U10:U41" si="17">IF(D10="",0,MIN(10,MAX(1,CEILING(R10/12,1))))</f>
        <v>4</v>
      </c>
      <c r="V10" s="39">
        <f t="shared" ref="V10:V41" si="18">IF(D10="",0,(Retention_Ratio*TI_Ren+(1-Retention_Ratio)*TI_New)*D10)</f>
        <v>34200</v>
      </c>
      <c r="W10" s="39">
        <f>IF(D10="",0,Retention_Ratio*LC_Ren*LeaseTermYrs*'Rent Roll'!D10*'Rent Roll'!X10+(1-Retention_Ratio)*LC_Ren*LeaseTermYrs*'Rent Roll'!D10*'Rent Roll'!X10)</f>
        <v>32503.905719999995</v>
      </c>
      <c r="X10" s="25">
        <f t="shared" ref="X10:X41" si="19">IF(D10="",0,L10*INDEX(MktRentSchedule,U10)/MktRentY1)</f>
        <v>15.048104499999999</v>
      </c>
      <c r="Y10" s="40">
        <f t="shared" ref="Y10:AH19" si="20">IF($D10="",0,IF(Y$5&lt;$N10,0,IF(Y$5&lt;=$O10,$D10*$H10*(1+$J10)^FLOOR((Y$5-1)/12,1)/12,IF(Y$5&lt;$T10,0,$D10*$X10*(1+$J10)^FLOOR((Y$5-$R10)/12,1)/12))))</f>
        <v>12852</v>
      </c>
      <c r="Z10" s="40">
        <f t="shared" si="20"/>
        <v>12852</v>
      </c>
      <c r="AA10" s="40">
        <f t="shared" si="20"/>
        <v>12852</v>
      </c>
      <c r="AB10" s="40">
        <f t="shared" si="20"/>
        <v>12852</v>
      </c>
      <c r="AC10" s="40">
        <f t="shared" si="20"/>
        <v>12852</v>
      </c>
      <c r="AD10" s="40">
        <f t="shared" si="20"/>
        <v>12852</v>
      </c>
      <c r="AE10" s="40">
        <f t="shared" si="20"/>
        <v>12852</v>
      </c>
      <c r="AF10" s="40">
        <f t="shared" si="20"/>
        <v>12852</v>
      </c>
      <c r="AG10" s="40">
        <f t="shared" si="20"/>
        <v>12852</v>
      </c>
      <c r="AH10" s="40">
        <f t="shared" si="20"/>
        <v>12852</v>
      </c>
      <c r="AI10" s="40">
        <f t="shared" ref="AI10:AR19" si="21">IF($D10="",0,IF(AI$5&lt;$N10,0,IF(AI$5&lt;=$O10,$D10*$H10*(1+$J10)^FLOOR((AI$5-1)/12,1)/12,IF(AI$5&lt;$T10,0,$D10*$X10*(1+$J10)^FLOOR((AI$5-$R10)/12,1)/12))))</f>
        <v>12852</v>
      </c>
      <c r="AJ10" s="40">
        <f t="shared" si="21"/>
        <v>12852</v>
      </c>
      <c r="AK10" s="40">
        <f t="shared" si="21"/>
        <v>13237.56</v>
      </c>
      <c r="AL10" s="40">
        <f t="shared" si="21"/>
        <v>13237.56</v>
      </c>
      <c r="AM10" s="40">
        <f t="shared" si="21"/>
        <v>13237.56</v>
      </c>
      <c r="AN10" s="40">
        <f t="shared" si="21"/>
        <v>13237.56</v>
      </c>
      <c r="AO10" s="40">
        <f t="shared" si="21"/>
        <v>13237.56</v>
      </c>
      <c r="AP10" s="40">
        <f t="shared" si="21"/>
        <v>13237.56</v>
      </c>
      <c r="AQ10" s="40">
        <f t="shared" si="21"/>
        <v>13237.56</v>
      </c>
      <c r="AR10" s="40">
        <f t="shared" si="21"/>
        <v>13237.56</v>
      </c>
      <c r="AS10" s="40">
        <f t="shared" ref="AS10:BB19" si="22">IF($D10="",0,IF(AS$5&lt;$N10,0,IF(AS$5&lt;=$O10,$D10*$H10*(1+$J10)^FLOOR((AS$5-1)/12,1)/12,IF(AS$5&lt;$T10,0,$D10*$X10*(1+$J10)^FLOOR((AS$5-$R10)/12,1)/12))))</f>
        <v>13237.56</v>
      </c>
      <c r="AT10" s="40">
        <f t="shared" si="22"/>
        <v>13237.56</v>
      </c>
      <c r="AU10" s="40">
        <f t="shared" si="22"/>
        <v>13237.56</v>
      </c>
      <c r="AV10" s="40">
        <f t="shared" si="22"/>
        <v>13237.56</v>
      </c>
      <c r="AW10" s="40">
        <f t="shared" si="22"/>
        <v>13634.686799999998</v>
      </c>
      <c r="AX10" s="40">
        <f t="shared" si="22"/>
        <v>13634.686799999998</v>
      </c>
      <c r="AY10" s="40">
        <f t="shared" si="22"/>
        <v>13634.686799999998</v>
      </c>
      <c r="AZ10" s="40">
        <f t="shared" si="22"/>
        <v>13634.686799999998</v>
      </c>
      <c r="BA10" s="40">
        <f t="shared" si="22"/>
        <v>13634.686799999998</v>
      </c>
      <c r="BB10" s="40">
        <f t="shared" si="22"/>
        <v>13634.686799999998</v>
      </c>
      <c r="BC10" s="40">
        <f t="shared" ref="BC10:BL19" si="23">IF($D10="",0,IF(BC$5&lt;$N10,0,IF(BC$5&lt;=$O10,$D10*$H10*(1+$J10)^FLOOR((BC$5-1)/12,1)/12,IF(BC$5&lt;$T10,0,$D10*$X10*(1+$J10)^FLOOR((BC$5-$R10)/12,1)/12))))</f>
        <v>13634.686799999998</v>
      </c>
      <c r="BD10" s="40">
        <f t="shared" si="23"/>
        <v>13634.686799999998</v>
      </c>
      <c r="BE10" s="40">
        <f t="shared" si="23"/>
        <v>13634.686799999998</v>
      </c>
      <c r="BF10" s="40">
        <f t="shared" si="23"/>
        <v>13634.686799999998</v>
      </c>
      <c r="BG10" s="40">
        <f t="shared" si="23"/>
        <v>13634.686799999998</v>
      </c>
      <c r="BH10" s="40">
        <f t="shared" si="23"/>
        <v>13634.686799999998</v>
      </c>
      <c r="BI10" s="40">
        <f t="shared" si="23"/>
        <v>0</v>
      </c>
      <c r="BJ10" s="40">
        <f t="shared" si="23"/>
        <v>0</v>
      </c>
      <c r="BK10" s="40">
        <f t="shared" si="23"/>
        <v>0</v>
      </c>
      <c r="BL10" s="40">
        <f t="shared" si="23"/>
        <v>0</v>
      </c>
      <c r="BM10" s="40">
        <f t="shared" ref="BM10:BV19" si="24">IF($D10="",0,IF(BM$5&lt;$N10,0,IF(BM$5&lt;=$O10,$D10*$H10*(1+$J10)^FLOOR((BM$5-1)/12,1)/12,IF(BM$5&lt;$T10,0,$D10*$X10*(1+$J10)^FLOOR((BM$5-$R10)/12,1)/12))))</f>
        <v>18057.725399999999</v>
      </c>
      <c r="BN10" s="40">
        <f t="shared" si="24"/>
        <v>18057.725399999999</v>
      </c>
      <c r="BO10" s="40">
        <f t="shared" si="24"/>
        <v>18057.725399999999</v>
      </c>
      <c r="BP10" s="40">
        <f t="shared" si="24"/>
        <v>18057.725399999999</v>
      </c>
      <c r="BQ10" s="40">
        <f t="shared" si="24"/>
        <v>18057.725399999999</v>
      </c>
      <c r="BR10" s="40">
        <f t="shared" si="24"/>
        <v>18057.725399999999</v>
      </c>
      <c r="BS10" s="40">
        <f t="shared" si="24"/>
        <v>18057.725399999999</v>
      </c>
      <c r="BT10" s="40">
        <f t="shared" si="24"/>
        <v>18057.725399999999</v>
      </c>
      <c r="BU10" s="40">
        <f t="shared" si="24"/>
        <v>18057.725399999999</v>
      </c>
      <c r="BV10" s="40">
        <f t="shared" si="24"/>
        <v>18057.725399999999</v>
      </c>
      <c r="BW10" s="40">
        <f t="shared" ref="BW10:CF19" si="25">IF($D10="",0,IF(BW$5&lt;$N10,0,IF(BW$5&lt;=$O10,$D10*$H10*(1+$J10)^FLOOR((BW$5-1)/12,1)/12,IF(BW$5&lt;$T10,0,$D10*$X10*(1+$J10)^FLOOR((BW$5-$R10)/12,1)/12))))</f>
        <v>18057.725399999999</v>
      </c>
      <c r="BX10" s="40">
        <f t="shared" si="25"/>
        <v>18599.457161999999</v>
      </c>
      <c r="BY10" s="40">
        <f t="shared" si="25"/>
        <v>18599.457161999999</v>
      </c>
      <c r="BZ10" s="40">
        <f t="shared" si="25"/>
        <v>18599.457161999999</v>
      </c>
      <c r="CA10" s="40">
        <f t="shared" si="25"/>
        <v>18599.457161999999</v>
      </c>
      <c r="CB10" s="40">
        <f t="shared" si="25"/>
        <v>18599.457161999999</v>
      </c>
      <c r="CC10" s="40">
        <f t="shared" si="25"/>
        <v>18599.457161999999</v>
      </c>
      <c r="CD10" s="40">
        <f t="shared" si="25"/>
        <v>18599.457161999999</v>
      </c>
      <c r="CE10" s="40">
        <f t="shared" si="25"/>
        <v>18599.457161999999</v>
      </c>
      <c r="CF10" s="40">
        <f t="shared" si="25"/>
        <v>18599.457161999999</v>
      </c>
      <c r="CG10" s="40">
        <f t="shared" ref="CG10:CP19" si="26">IF($D10="",0,IF(CG$5&lt;$N10,0,IF(CG$5&lt;=$O10,$D10*$H10*(1+$J10)^FLOOR((CG$5-1)/12,1)/12,IF(CG$5&lt;$T10,0,$D10*$X10*(1+$J10)^FLOOR((CG$5-$R10)/12,1)/12))))</f>
        <v>18599.457161999999</v>
      </c>
      <c r="CH10" s="40">
        <f t="shared" si="26"/>
        <v>18599.457161999999</v>
      </c>
      <c r="CI10" s="40">
        <f t="shared" si="26"/>
        <v>18599.457161999999</v>
      </c>
      <c r="CJ10" s="40">
        <f t="shared" si="26"/>
        <v>19157.440876859997</v>
      </c>
      <c r="CK10" s="40">
        <f t="shared" si="26"/>
        <v>19157.440876859997</v>
      </c>
      <c r="CL10" s="40">
        <f t="shared" si="26"/>
        <v>19157.440876859997</v>
      </c>
      <c r="CM10" s="40">
        <f t="shared" si="26"/>
        <v>19157.440876859997</v>
      </c>
      <c r="CN10" s="40">
        <f t="shared" si="26"/>
        <v>19157.440876859997</v>
      </c>
      <c r="CO10" s="40">
        <f t="shared" si="26"/>
        <v>19157.440876859997</v>
      </c>
      <c r="CP10" s="40">
        <f t="shared" si="26"/>
        <v>19157.440876859997</v>
      </c>
      <c r="CQ10" s="40">
        <f t="shared" ref="CQ10:CZ19" si="27">IF($D10="",0,IF(CQ$5&lt;$N10,0,IF(CQ$5&lt;=$O10,$D10*$H10*(1+$J10)^FLOOR((CQ$5-1)/12,1)/12,IF(CQ$5&lt;$T10,0,$D10*$X10*(1+$J10)^FLOOR((CQ$5-$R10)/12,1)/12))))</f>
        <v>19157.440876859997</v>
      </c>
      <c r="CR10" s="40">
        <f t="shared" si="27"/>
        <v>19157.440876859997</v>
      </c>
      <c r="CS10" s="40">
        <f t="shared" si="27"/>
        <v>19157.440876859997</v>
      </c>
      <c r="CT10" s="40">
        <f t="shared" si="27"/>
        <v>19157.440876859997</v>
      </c>
      <c r="CU10" s="40">
        <f t="shared" si="27"/>
        <v>19157.440876859997</v>
      </c>
      <c r="CV10" s="40">
        <f t="shared" si="27"/>
        <v>19732.164103165796</v>
      </c>
      <c r="CW10" s="40">
        <f t="shared" si="27"/>
        <v>19732.164103165796</v>
      </c>
      <c r="CX10" s="40">
        <f t="shared" si="27"/>
        <v>19732.164103165796</v>
      </c>
      <c r="CY10" s="40">
        <f t="shared" si="27"/>
        <v>19732.164103165796</v>
      </c>
      <c r="CZ10" s="40">
        <f t="shared" si="27"/>
        <v>19732.164103165796</v>
      </c>
      <c r="DA10" s="40">
        <f t="shared" ref="DA10:DJ19" si="28">IF($D10="",0,IF(DA$5&lt;$N10,0,IF(DA$5&lt;=$O10,$D10*$H10*(1+$J10)^FLOOR((DA$5-1)/12,1)/12,IF(DA$5&lt;$T10,0,$D10*$X10*(1+$J10)^FLOOR((DA$5-$R10)/12,1)/12))))</f>
        <v>19732.164103165796</v>
      </c>
      <c r="DB10" s="40">
        <f t="shared" si="28"/>
        <v>19732.164103165796</v>
      </c>
      <c r="DC10" s="40">
        <f t="shared" si="28"/>
        <v>19732.164103165796</v>
      </c>
      <c r="DD10" s="40">
        <f t="shared" si="28"/>
        <v>19732.164103165796</v>
      </c>
      <c r="DE10" s="40">
        <f t="shared" si="28"/>
        <v>19732.164103165796</v>
      </c>
      <c r="DF10" s="40">
        <f t="shared" si="28"/>
        <v>19732.164103165796</v>
      </c>
      <c r="DG10" s="40">
        <f t="shared" si="28"/>
        <v>19732.164103165796</v>
      </c>
      <c r="DH10" s="40">
        <f t="shared" si="28"/>
        <v>20324.129026260769</v>
      </c>
      <c r="DI10" s="40">
        <f t="shared" si="28"/>
        <v>20324.129026260769</v>
      </c>
      <c r="DJ10" s="40">
        <f t="shared" si="28"/>
        <v>20324.129026260769</v>
      </c>
      <c r="DK10" s="40">
        <f t="shared" ref="DK10:DT19" si="29">IF($D10="",0,IF(DK$5&lt;$N10,0,IF(DK$5&lt;=$O10,$D10*$H10*(1+$J10)^FLOOR((DK$5-1)/12,1)/12,IF(DK$5&lt;$T10,0,$D10*$X10*(1+$J10)^FLOOR((DK$5-$R10)/12,1)/12))))</f>
        <v>20324.129026260769</v>
      </c>
      <c r="DL10" s="40">
        <f t="shared" si="29"/>
        <v>20324.129026260769</v>
      </c>
      <c r="DM10" s="40">
        <f t="shared" si="29"/>
        <v>20324.129026260769</v>
      </c>
      <c r="DN10" s="40">
        <f t="shared" si="29"/>
        <v>20324.129026260769</v>
      </c>
      <c r="DO10" s="40">
        <f t="shared" si="29"/>
        <v>20324.129026260769</v>
      </c>
      <c r="DP10" s="40">
        <f t="shared" si="29"/>
        <v>20324.129026260769</v>
      </c>
      <c r="DQ10" s="40">
        <f t="shared" si="29"/>
        <v>20324.129026260769</v>
      </c>
      <c r="DR10" s="40">
        <f t="shared" si="29"/>
        <v>20324.129026260769</v>
      </c>
      <c r="DS10" s="40">
        <f t="shared" si="29"/>
        <v>20324.129026260769</v>
      </c>
      <c r="DT10" s="40">
        <f t="shared" si="29"/>
        <v>20933.852897048593</v>
      </c>
      <c r="DU10" s="40">
        <f t="shared" ref="DU10:ED19" si="30">IF($D10="",0,IF(DU$5&lt;$N10,0,IF(DU$5&lt;=$O10,$D10*$H10*(1+$J10)^FLOOR((DU$5-1)/12,1)/12,IF(DU$5&lt;$T10,0,$D10*$X10*(1+$J10)^FLOOR((DU$5-$R10)/12,1)/12))))</f>
        <v>20933.852897048593</v>
      </c>
      <c r="DV10" s="40">
        <f t="shared" si="30"/>
        <v>20933.852897048593</v>
      </c>
      <c r="DW10" s="40">
        <f t="shared" si="30"/>
        <v>20933.852897048593</v>
      </c>
      <c r="DX10" s="40">
        <f t="shared" si="30"/>
        <v>20933.852897048593</v>
      </c>
      <c r="DY10" s="40">
        <f t="shared" si="30"/>
        <v>20933.852897048593</v>
      </c>
      <c r="DZ10" s="40">
        <f t="shared" si="30"/>
        <v>20933.852897048593</v>
      </c>
      <c r="EA10" s="40">
        <f t="shared" si="30"/>
        <v>20933.852897048593</v>
      </c>
      <c r="EB10" s="40">
        <f t="shared" si="30"/>
        <v>20933.852897048593</v>
      </c>
      <c r="EC10" s="40">
        <f t="shared" si="30"/>
        <v>20933.852897048593</v>
      </c>
      <c r="ED10" s="40">
        <f t="shared" si="30"/>
        <v>20933.852897048593</v>
      </c>
      <c r="EE10" s="40">
        <f t="shared" ref="EE10:EN19" si="31">IF($D10="",0,IF(EE$5&lt;$N10,0,IF(EE$5&lt;=$O10,$D10*$H10*(1+$J10)^FLOOR((EE$5-1)/12,1)/12,IF(EE$5&lt;$T10,0,$D10*$X10*(1+$J10)^FLOOR((EE$5-$R10)/12,1)/12))))</f>
        <v>20933.852897048593</v>
      </c>
      <c r="EF10" s="40">
        <f t="shared" si="31"/>
        <v>21561.86848396005</v>
      </c>
      <c r="EG10" s="40">
        <f t="shared" si="31"/>
        <v>21561.86848396005</v>
      </c>
      <c r="EH10" s="40">
        <f t="shared" si="31"/>
        <v>21561.86848396005</v>
      </c>
      <c r="EI10" s="40">
        <f t="shared" si="31"/>
        <v>21561.86848396005</v>
      </c>
      <c r="EJ10" s="40">
        <f t="shared" si="31"/>
        <v>21561.86848396005</v>
      </c>
      <c r="EK10" s="40">
        <f t="shared" si="31"/>
        <v>21561.86848396005</v>
      </c>
      <c r="EL10" s="40">
        <f t="shared" si="31"/>
        <v>21561.86848396005</v>
      </c>
      <c r="EM10" s="40">
        <f t="shared" si="31"/>
        <v>21561.86848396005</v>
      </c>
      <c r="EN10" s="40">
        <f t="shared" si="31"/>
        <v>21561.86848396005</v>
      </c>
    </row>
    <row r="11" spans="2:144" x14ac:dyDescent="0.35">
      <c r="B11" s="37" t="s">
        <v>268</v>
      </c>
      <c r="C11" s="19" t="s">
        <v>269</v>
      </c>
      <c r="D11" s="20">
        <v>17636</v>
      </c>
      <c r="E11" s="18">
        <f t="shared" si="8"/>
        <v>1.454155672823219E-2</v>
      </c>
      <c r="F11" s="38">
        <v>44440</v>
      </c>
      <c r="G11" s="38">
        <v>46966</v>
      </c>
      <c r="H11" s="32">
        <v>7.69</v>
      </c>
      <c r="I11" s="28">
        <f t="shared" si="9"/>
        <v>135620.84</v>
      </c>
      <c r="J11" s="26">
        <v>0.03</v>
      </c>
      <c r="K11" s="37" t="s">
        <v>266</v>
      </c>
      <c r="L11" s="32">
        <v>13</v>
      </c>
      <c r="M11" s="37" t="s">
        <v>267</v>
      </c>
      <c r="N11" s="39">
        <f t="shared" si="10"/>
        <v>-27</v>
      </c>
      <c r="O11" s="39">
        <f t="shared" si="11"/>
        <v>56</v>
      </c>
      <c r="P11" s="39">
        <f t="shared" si="12"/>
        <v>57</v>
      </c>
      <c r="Q11" s="39">
        <f t="shared" si="13"/>
        <v>3</v>
      </c>
      <c r="R11" s="39">
        <f t="shared" si="14"/>
        <v>60</v>
      </c>
      <c r="S11" s="39">
        <f t="shared" si="15"/>
        <v>1</v>
      </c>
      <c r="T11" s="39">
        <f t="shared" si="16"/>
        <v>61</v>
      </c>
      <c r="U11" s="39">
        <f t="shared" si="17"/>
        <v>5</v>
      </c>
      <c r="V11" s="39">
        <f t="shared" si="18"/>
        <v>41885.5</v>
      </c>
      <c r="W11" s="39">
        <f>IF(D11="",0,Retention_Ratio*LC_Ren*LeaseTermYrs*'Rent Roll'!D11*'Rent Roll'!X11+(1-Retention_Ratio)*LC_Ren*LeaseTermYrs*'Rent Roll'!D11*'Rent Roll'!X11)</f>
        <v>41201.544591850492</v>
      </c>
      <c r="X11" s="25">
        <f t="shared" si="19"/>
        <v>15.574788157499999</v>
      </c>
      <c r="Y11" s="40">
        <f t="shared" si="20"/>
        <v>11301.736666666666</v>
      </c>
      <c r="Z11" s="40">
        <f t="shared" si="20"/>
        <v>11301.736666666666</v>
      </c>
      <c r="AA11" s="40">
        <f t="shared" si="20"/>
        <v>11301.736666666666</v>
      </c>
      <c r="AB11" s="40">
        <f t="shared" si="20"/>
        <v>11301.736666666666</v>
      </c>
      <c r="AC11" s="40">
        <f t="shared" si="20"/>
        <v>11301.736666666666</v>
      </c>
      <c r="AD11" s="40">
        <f t="shared" si="20"/>
        <v>11301.736666666666</v>
      </c>
      <c r="AE11" s="40">
        <f t="shared" si="20"/>
        <v>11301.736666666666</v>
      </c>
      <c r="AF11" s="40">
        <f t="shared" si="20"/>
        <v>11301.736666666666</v>
      </c>
      <c r="AG11" s="40">
        <f t="shared" si="20"/>
        <v>11301.736666666666</v>
      </c>
      <c r="AH11" s="40">
        <f t="shared" si="20"/>
        <v>11301.736666666666</v>
      </c>
      <c r="AI11" s="40">
        <f t="shared" si="21"/>
        <v>11301.736666666666</v>
      </c>
      <c r="AJ11" s="40">
        <f t="shared" si="21"/>
        <v>11301.736666666666</v>
      </c>
      <c r="AK11" s="40">
        <f t="shared" si="21"/>
        <v>11640.788766666667</v>
      </c>
      <c r="AL11" s="40">
        <f t="shared" si="21"/>
        <v>11640.788766666667</v>
      </c>
      <c r="AM11" s="40">
        <f t="shared" si="21"/>
        <v>11640.788766666667</v>
      </c>
      <c r="AN11" s="40">
        <f t="shared" si="21"/>
        <v>11640.788766666667</v>
      </c>
      <c r="AO11" s="40">
        <f t="shared" si="21"/>
        <v>11640.788766666667</v>
      </c>
      <c r="AP11" s="40">
        <f t="shared" si="21"/>
        <v>11640.788766666667</v>
      </c>
      <c r="AQ11" s="40">
        <f t="shared" si="21"/>
        <v>11640.788766666667</v>
      </c>
      <c r="AR11" s="40">
        <f t="shared" si="21"/>
        <v>11640.788766666667</v>
      </c>
      <c r="AS11" s="40">
        <f t="shared" si="22"/>
        <v>11640.788766666667</v>
      </c>
      <c r="AT11" s="40">
        <f t="shared" si="22"/>
        <v>11640.788766666667</v>
      </c>
      <c r="AU11" s="40">
        <f t="shared" si="22"/>
        <v>11640.788766666667</v>
      </c>
      <c r="AV11" s="40">
        <f t="shared" si="22"/>
        <v>11640.788766666667</v>
      </c>
      <c r="AW11" s="40">
        <f t="shared" si="22"/>
        <v>11990.012429666667</v>
      </c>
      <c r="AX11" s="40">
        <f t="shared" si="22"/>
        <v>11990.012429666667</v>
      </c>
      <c r="AY11" s="40">
        <f t="shared" si="22"/>
        <v>11990.012429666667</v>
      </c>
      <c r="AZ11" s="40">
        <f t="shared" si="22"/>
        <v>11990.012429666667</v>
      </c>
      <c r="BA11" s="40">
        <f t="shared" si="22"/>
        <v>11990.012429666667</v>
      </c>
      <c r="BB11" s="40">
        <f t="shared" si="22"/>
        <v>11990.012429666667</v>
      </c>
      <c r="BC11" s="40">
        <f t="shared" si="23"/>
        <v>11990.012429666667</v>
      </c>
      <c r="BD11" s="40">
        <f t="shared" si="23"/>
        <v>11990.012429666667</v>
      </c>
      <c r="BE11" s="40">
        <f t="shared" si="23"/>
        <v>11990.012429666667</v>
      </c>
      <c r="BF11" s="40">
        <f t="shared" si="23"/>
        <v>11990.012429666667</v>
      </c>
      <c r="BG11" s="40">
        <f t="shared" si="23"/>
        <v>11990.012429666667</v>
      </c>
      <c r="BH11" s="40">
        <f t="shared" si="23"/>
        <v>11990.012429666667</v>
      </c>
      <c r="BI11" s="40">
        <f t="shared" si="23"/>
        <v>12349.712802556665</v>
      </c>
      <c r="BJ11" s="40">
        <f t="shared" si="23"/>
        <v>12349.712802556665</v>
      </c>
      <c r="BK11" s="40">
        <f t="shared" si="23"/>
        <v>12349.712802556665</v>
      </c>
      <c r="BL11" s="40">
        <f t="shared" si="23"/>
        <v>12349.712802556665</v>
      </c>
      <c r="BM11" s="40">
        <f t="shared" si="24"/>
        <v>12349.712802556665</v>
      </c>
      <c r="BN11" s="40">
        <f t="shared" si="24"/>
        <v>12349.712802556665</v>
      </c>
      <c r="BO11" s="40">
        <f t="shared" si="24"/>
        <v>12349.712802556665</v>
      </c>
      <c r="BP11" s="40">
        <f t="shared" si="24"/>
        <v>12349.712802556665</v>
      </c>
      <c r="BQ11" s="40">
        <f t="shared" si="24"/>
        <v>12349.712802556665</v>
      </c>
      <c r="BR11" s="40">
        <f t="shared" si="24"/>
        <v>12349.712802556665</v>
      </c>
      <c r="BS11" s="40">
        <f t="shared" si="24"/>
        <v>12349.712802556665</v>
      </c>
      <c r="BT11" s="40">
        <f t="shared" si="24"/>
        <v>12349.712802556665</v>
      </c>
      <c r="BU11" s="40">
        <f t="shared" si="24"/>
        <v>12720.204186633366</v>
      </c>
      <c r="BV11" s="40">
        <f t="shared" si="24"/>
        <v>12720.204186633366</v>
      </c>
      <c r="BW11" s="40">
        <f t="shared" si="25"/>
        <v>12720.204186633366</v>
      </c>
      <c r="BX11" s="40">
        <f t="shared" si="25"/>
        <v>12720.204186633366</v>
      </c>
      <c r="BY11" s="40">
        <f t="shared" si="25"/>
        <v>12720.204186633366</v>
      </c>
      <c r="BZ11" s="40">
        <f t="shared" si="25"/>
        <v>12720.204186633366</v>
      </c>
      <c r="CA11" s="40">
        <f t="shared" si="25"/>
        <v>12720.204186633366</v>
      </c>
      <c r="CB11" s="40">
        <f t="shared" si="25"/>
        <v>12720.204186633366</v>
      </c>
      <c r="CC11" s="40">
        <f t="shared" si="25"/>
        <v>0</v>
      </c>
      <c r="CD11" s="40">
        <f t="shared" si="25"/>
        <v>0</v>
      </c>
      <c r="CE11" s="40">
        <f t="shared" si="25"/>
        <v>0</v>
      </c>
      <c r="CF11" s="40">
        <f t="shared" si="25"/>
        <v>0</v>
      </c>
      <c r="CG11" s="40">
        <f t="shared" si="26"/>
        <v>22889.746995472498</v>
      </c>
      <c r="CH11" s="40">
        <f t="shared" si="26"/>
        <v>22889.746995472498</v>
      </c>
      <c r="CI11" s="40">
        <f t="shared" si="26"/>
        <v>22889.746995472498</v>
      </c>
      <c r="CJ11" s="40">
        <f t="shared" si="26"/>
        <v>22889.746995472498</v>
      </c>
      <c r="CK11" s="40">
        <f t="shared" si="26"/>
        <v>22889.746995472498</v>
      </c>
      <c r="CL11" s="40">
        <f t="shared" si="26"/>
        <v>22889.746995472498</v>
      </c>
      <c r="CM11" s="40">
        <f t="shared" si="26"/>
        <v>22889.746995472498</v>
      </c>
      <c r="CN11" s="40">
        <f t="shared" si="26"/>
        <v>22889.746995472498</v>
      </c>
      <c r="CO11" s="40">
        <f t="shared" si="26"/>
        <v>22889.746995472498</v>
      </c>
      <c r="CP11" s="40">
        <f t="shared" si="26"/>
        <v>22889.746995472498</v>
      </c>
      <c r="CQ11" s="40">
        <f t="shared" si="27"/>
        <v>22889.746995472498</v>
      </c>
      <c r="CR11" s="40">
        <f t="shared" si="27"/>
        <v>23576.439405336674</v>
      </c>
      <c r="CS11" s="40">
        <f t="shared" si="27"/>
        <v>23576.439405336674</v>
      </c>
      <c r="CT11" s="40">
        <f t="shared" si="27"/>
        <v>23576.439405336674</v>
      </c>
      <c r="CU11" s="40">
        <f t="shared" si="27"/>
        <v>23576.439405336674</v>
      </c>
      <c r="CV11" s="40">
        <f t="shared" si="27"/>
        <v>23576.439405336674</v>
      </c>
      <c r="CW11" s="40">
        <f t="shared" si="27"/>
        <v>23576.439405336674</v>
      </c>
      <c r="CX11" s="40">
        <f t="shared" si="27"/>
        <v>23576.439405336674</v>
      </c>
      <c r="CY11" s="40">
        <f t="shared" si="27"/>
        <v>23576.439405336674</v>
      </c>
      <c r="CZ11" s="40">
        <f t="shared" si="27"/>
        <v>23576.439405336674</v>
      </c>
      <c r="DA11" s="40">
        <f t="shared" si="28"/>
        <v>23576.439405336674</v>
      </c>
      <c r="DB11" s="40">
        <f t="shared" si="28"/>
        <v>23576.439405336674</v>
      </c>
      <c r="DC11" s="40">
        <f t="shared" si="28"/>
        <v>23576.439405336674</v>
      </c>
      <c r="DD11" s="40">
        <f t="shared" si="28"/>
        <v>24283.732587496776</v>
      </c>
      <c r="DE11" s="40">
        <f t="shared" si="28"/>
        <v>24283.732587496776</v>
      </c>
      <c r="DF11" s="40">
        <f t="shared" si="28"/>
        <v>24283.732587496776</v>
      </c>
      <c r="DG11" s="40">
        <f t="shared" si="28"/>
        <v>24283.732587496776</v>
      </c>
      <c r="DH11" s="40">
        <f t="shared" si="28"/>
        <v>24283.732587496776</v>
      </c>
      <c r="DI11" s="40">
        <f t="shared" si="28"/>
        <v>24283.732587496776</v>
      </c>
      <c r="DJ11" s="40">
        <f t="shared" si="28"/>
        <v>24283.732587496776</v>
      </c>
      <c r="DK11" s="40">
        <f t="shared" si="29"/>
        <v>24283.732587496776</v>
      </c>
      <c r="DL11" s="40">
        <f t="shared" si="29"/>
        <v>24283.732587496776</v>
      </c>
      <c r="DM11" s="40">
        <f t="shared" si="29"/>
        <v>24283.732587496776</v>
      </c>
      <c r="DN11" s="40">
        <f t="shared" si="29"/>
        <v>24283.732587496776</v>
      </c>
      <c r="DO11" s="40">
        <f t="shared" si="29"/>
        <v>24283.732587496776</v>
      </c>
      <c r="DP11" s="40">
        <f t="shared" si="29"/>
        <v>25012.24456512168</v>
      </c>
      <c r="DQ11" s="40">
        <f t="shared" si="29"/>
        <v>25012.24456512168</v>
      </c>
      <c r="DR11" s="40">
        <f t="shared" si="29"/>
        <v>25012.24456512168</v>
      </c>
      <c r="DS11" s="40">
        <f t="shared" si="29"/>
        <v>25012.24456512168</v>
      </c>
      <c r="DT11" s="40">
        <f t="shared" si="29"/>
        <v>25012.24456512168</v>
      </c>
      <c r="DU11" s="40">
        <f t="shared" si="30"/>
        <v>25012.24456512168</v>
      </c>
      <c r="DV11" s="40">
        <f t="shared" si="30"/>
        <v>25012.24456512168</v>
      </c>
      <c r="DW11" s="40">
        <f t="shared" si="30"/>
        <v>25012.24456512168</v>
      </c>
      <c r="DX11" s="40">
        <f t="shared" si="30"/>
        <v>25012.24456512168</v>
      </c>
      <c r="DY11" s="40">
        <f t="shared" si="30"/>
        <v>25012.24456512168</v>
      </c>
      <c r="DZ11" s="40">
        <f t="shared" si="30"/>
        <v>25012.24456512168</v>
      </c>
      <c r="EA11" s="40">
        <f t="shared" si="30"/>
        <v>25012.24456512168</v>
      </c>
      <c r="EB11" s="40">
        <f t="shared" si="30"/>
        <v>25762.611902075325</v>
      </c>
      <c r="EC11" s="40">
        <f t="shared" si="30"/>
        <v>25762.611902075325</v>
      </c>
      <c r="ED11" s="40">
        <f t="shared" si="30"/>
        <v>25762.611902075325</v>
      </c>
      <c r="EE11" s="40">
        <f t="shared" si="31"/>
        <v>25762.611902075325</v>
      </c>
      <c r="EF11" s="40">
        <f t="shared" si="31"/>
        <v>25762.611902075325</v>
      </c>
      <c r="EG11" s="40">
        <f t="shared" si="31"/>
        <v>25762.611902075325</v>
      </c>
      <c r="EH11" s="40">
        <f t="shared" si="31"/>
        <v>25762.611902075325</v>
      </c>
      <c r="EI11" s="40">
        <f t="shared" si="31"/>
        <v>25762.611902075325</v>
      </c>
      <c r="EJ11" s="40">
        <f t="shared" si="31"/>
        <v>25762.611902075325</v>
      </c>
      <c r="EK11" s="40">
        <f t="shared" si="31"/>
        <v>25762.611902075325</v>
      </c>
      <c r="EL11" s="40">
        <f t="shared" si="31"/>
        <v>25762.611902075325</v>
      </c>
      <c r="EM11" s="40">
        <f t="shared" si="31"/>
        <v>25762.611902075325</v>
      </c>
      <c r="EN11" s="40">
        <f t="shared" si="31"/>
        <v>26535.490259137587</v>
      </c>
    </row>
    <row r="12" spans="2:144" x14ac:dyDescent="0.35">
      <c r="B12" s="37" t="s">
        <v>270</v>
      </c>
      <c r="C12" s="19" t="s">
        <v>271</v>
      </c>
      <c r="D12" s="20">
        <v>18364</v>
      </c>
      <c r="E12" s="18">
        <f t="shared" si="8"/>
        <v>1.5141820580474934E-2</v>
      </c>
      <c r="F12" s="38">
        <v>43252</v>
      </c>
      <c r="G12" s="38">
        <v>46204</v>
      </c>
      <c r="H12" s="32">
        <v>7.43</v>
      </c>
      <c r="I12" s="28">
        <f t="shared" si="9"/>
        <v>136444.51999999999</v>
      </c>
      <c r="J12" s="26">
        <v>0.03</v>
      </c>
      <c r="K12" s="37" t="s">
        <v>266</v>
      </c>
      <c r="L12" s="32">
        <v>13</v>
      </c>
      <c r="M12" s="37" t="s">
        <v>267</v>
      </c>
      <c r="N12" s="39">
        <f t="shared" si="10"/>
        <v>-66</v>
      </c>
      <c r="O12" s="39">
        <f t="shared" si="11"/>
        <v>31</v>
      </c>
      <c r="P12" s="39">
        <f t="shared" si="12"/>
        <v>32</v>
      </c>
      <c r="Q12" s="39">
        <f t="shared" si="13"/>
        <v>3</v>
      </c>
      <c r="R12" s="39">
        <f t="shared" si="14"/>
        <v>35</v>
      </c>
      <c r="S12" s="39">
        <f t="shared" si="15"/>
        <v>1</v>
      </c>
      <c r="T12" s="39">
        <f t="shared" si="16"/>
        <v>36</v>
      </c>
      <c r="U12" s="39">
        <f t="shared" si="17"/>
        <v>3</v>
      </c>
      <c r="V12" s="39">
        <f t="shared" si="18"/>
        <v>43614.5</v>
      </c>
      <c r="W12" s="39">
        <f>IF(D12="",0,Retention_Ratio*LC_Ren*LeaseTermYrs*'Rent Roll'!D12*'Rent Roll'!X12+(1-Retention_Ratio)*LC_Ren*LeaseTermYrs*'Rent Roll'!D12*'Rent Roll'!X12)</f>
        <v>39666.515459999995</v>
      </c>
      <c r="X12" s="25">
        <f t="shared" si="19"/>
        <v>14.4001</v>
      </c>
      <c r="Y12" s="40">
        <f t="shared" si="20"/>
        <v>11370.376666666665</v>
      </c>
      <c r="Z12" s="40">
        <f t="shared" si="20"/>
        <v>11370.376666666665</v>
      </c>
      <c r="AA12" s="40">
        <f t="shared" si="20"/>
        <v>11370.376666666665</v>
      </c>
      <c r="AB12" s="40">
        <f t="shared" si="20"/>
        <v>11370.376666666665</v>
      </c>
      <c r="AC12" s="40">
        <f t="shared" si="20"/>
        <v>11370.376666666665</v>
      </c>
      <c r="AD12" s="40">
        <f t="shared" si="20"/>
        <v>11370.376666666665</v>
      </c>
      <c r="AE12" s="40">
        <f t="shared" si="20"/>
        <v>11370.376666666665</v>
      </c>
      <c r="AF12" s="40">
        <f t="shared" si="20"/>
        <v>11370.376666666665</v>
      </c>
      <c r="AG12" s="40">
        <f t="shared" si="20"/>
        <v>11370.376666666665</v>
      </c>
      <c r="AH12" s="40">
        <f t="shared" si="20"/>
        <v>11370.376666666665</v>
      </c>
      <c r="AI12" s="40">
        <f t="shared" si="21"/>
        <v>11370.376666666665</v>
      </c>
      <c r="AJ12" s="40">
        <f t="shared" si="21"/>
        <v>11370.376666666665</v>
      </c>
      <c r="AK12" s="40">
        <f t="shared" si="21"/>
        <v>11711.487966666666</v>
      </c>
      <c r="AL12" s="40">
        <f t="shared" si="21"/>
        <v>11711.487966666666</v>
      </c>
      <c r="AM12" s="40">
        <f t="shared" si="21"/>
        <v>11711.487966666666</v>
      </c>
      <c r="AN12" s="40">
        <f t="shared" si="21"/>
        <v>11711.487966666666</v>
      </c>
      <c r="AO12" s="40">
        <f t="shared" si="21"/>
        <v>11711.487966666666</v>
      </c>
      <c r="AP12" s="40">
        <f t="shared" si="21"/>
        <v>11711.487966666666</v>
      </c>
      <c r="AQ12" s="40">
        <f t="shared" si="21"/>
        <v>11711.487966666666</v>
      </c>
      <c r="AR12" s="40">
        <f t="shared" si="21"/>
        <v>11711.487966666666</v>
      </c>
      <c r="AS12" s="40">
        <f t="shared" si="22"/>
        <v>11711.487966666666</v>
      </c>
      <c r="AT12" s="40">
        <f t="shared" si="22"/>
        <v>11711.487966666666</v>
      </c>
      <c r="AU12" s="40">
        <f t="shared" si="22"/>
        <v>11711.487966666666</v>
      </c>
      <c r="AV12" s="40">
        <f t="shared" si="22"/>
        <v>11711.487966666666</v>
      </c>
      <c r="AW12" s="40">
        <f t="shared" si="22"/>
        <v>12062.832605666665</v>
      </c>
      <c r="AX12" s="40">
        <f t="shared" si="22"/>
        <v>12062.832605666665</v>
      </c>
      <c r="AY12" s="40">
        <f t="shared" si="22"/>
        <v>12062.832605666665</v>
      </c>
      <c r="AZ12" s="40">
        <f t="shared" si="22"/>
        <v>12062.832605666665</v>
      </c>
      <c r="BA12" s="40">
        <f t="shared" si="22"/>
        <v>12062.832605666665</v>
      </c>
      <c r="BB12" s="40">
        <f t="shared" si="22"/>
        <v>12062.832605666665</v>
      </c>
      <c r="BC12" s="40">
        <f t="shared" si="23"/>
        <v>12062.832605666665</v>
      </c>
      <c r="BD12" s="40">
        <f t="shared" si="23"/>
        <v>0</v>
      </c>
      <c r="BE12" s="40">
        <f t="shared" si="23"/>
        <v>0</v>
      </c>
      <c r="BF12" s="40">
        <f t="shared" si="23"/>
        <v>0</v>
      </c>
      <c r="BG12" s="40">
        <f t="shared" si="23"/>
        <v>0</v>
      </c>
      <c r="BH12" s="40">
        <f t="shared" si="23"/>
        <v>22036.953033333335</v>
      </c>
      <c r="BI12" s="40">
        <f t="shared" si="23"/>
        <v>22036.953033333335</v>
      </c>
      <c r="BJ12" s="40">
        <f t="shared" si="23"/>
        <v>22036.953033333335</v>
      </c>
      <c r="BK12" s="40">
        <f t="shared" si="23"/>
        <v>22036.953033333335</v>
      </c>
      <c r="BL12" s="40">
        <f t="shared" si="23"/>
        <v>22036.953033333335</v>
      </c>
      <c r="BM12" s="40">
        <f t="shared" si="24"/>
        <v>22036.953033333335</v>
      </c>
      <c r="BN12" s="40">
        <f t="shared" si="24"/>
        <v>22036.953033333335</v>
      </c>
      <c r="BO12" s="40">
        <f t="shared" si="24"/>
        <v>22036.953033333335</v>
      </c>
      <c r="BP12" s="40">
        <f t="shared" si="24"/>
        <v>22036.953033333335</v>
      </c>
      <c r="BQ12" s="40">
        <f t="shared" si="24"/>
        <v>22036.953033333335</v>
      </c>
      <c r="BR12" s="40">
        <f t="shared" si="24"/>
        <v>22036.953033333335</v>
      </c>
      <c r="BS12" s="40">
        <f t="shared" si="24"/>
        <v>22698.061624333335</v>
      </c>
      <c r="BT12" s="40">
        <f t="shared" si="24"/>
        <v>22698.061624333335</v>
      </c>
      <c r="BU12" s="40">
        <f t="shared" si="24"/>
        <v>22698.061624333335</v>
      </c>
      <c r="BV12" s="40">
        <f t="shared" si="24"/>
        <v>22698.061624333335</v>
      </c>
      <c r="BW12" s="40">
        <f t="shared" si="25"/>
        <v>22698.061624333335</v>
      </c>
      <c r="BX12" s="40">
        <f t="shared" si="25"/>
        <v>22698.061624333335</v>
      </c>
      <c r="BY12" s="40">
        <f t="shared" si="25"/>
        <v>22698.061624333335</v>
      </c>
      <c r="BZ12" s="40">
        <f t="shared" si="25"/>
        <v>22698.061624333335</v>
      </c>
      <c r="CA12" s="40">
        <f t="shared" si="25"/>
        <v>22698.061624333335</v>
      </c>
      <c r="CB12" s="40">
        <f t="shared" si="25"/>
        <v>22698.061624333335</v>
      </c>
      <c r="CC12" s="40">
        <f t="shared" si="25"/>
        <v>22698.061624333335</v>
      </c>
      <c r="CD12" s="40">
        <f t="shared" si="25"/>
        <v>22698.061624333335</v>
      </c>
      <c r="CE12" s="40">
        <f t="shared" si="25"/>
        <v>23379.003473063334</v>
      </c>
      <c r="CF12" s="40">
        <f t="shared" si="25"/>
        <v>23379.003473063334</v>
      </c>
      <c r="CG12" s="40">
        <f t="shared" si="26"/>
        <v>23379.003473063334</v>
      </c>
      <c r="CH12" s="40">
        <f t="shared" si="26"/>
        <v>23379.003473063334</v>
      </c>
      <c r="CI12" s="40">
        <f t="shared" si="26"/>
        <v>23379.003473063334</v>
      </c>
      <c r="CJ12" s="40">
        <f t="shared" si="26"/>
        <v>23379.003473063334</v>
      </c>
      <c r="CK12" s="40">
        <f t="shared" si="26"/>
        <v>23379.003473063334</v>
      </c>
      <c r="CL12" s="40">
        <f t="shared" si="26"/>
        <v>23379.003473063334</v>
      </c>
      <c r="CM12" s="40">
        <f t="shared" si="26"/>
        <v>23379.003473063334</v>
      </c>
      <c r="CN12" s="40">
        <f t="shared" si="26"/>
        <v>23379.003473063334</v>
      </c>
      <c r="CO12" s="40">
        <f t="shared" si="26"/>
        <v>23379.003473063334</v>
      </c>
      <c r="CP12" s="40">
        <f t="shared" si="26"/>
        <v>23379.003473063334</v>
      </c>
      <c r="CQ12" s="40">
        <f t="shared" si="27"/>
        <v>24080.373577255232</v>
      </c>
      <c r="CR12" s="40">
        <f t="shared" si="27"/>
        <v>24080.373577255232</v>
      </c>
      <c r="CS12" s="40">
        <f t="shared" si="27"/>
        <v>24080.373577255232</v>
      </c>
      <c r="CT12" s="40">
        <f t="shared" si="27"/>
        <v>24080.373577255232</v>
      </c>
      <c r="CU12" s="40">
        <f t="shared" si="27"/>
        <v>24080.373577255232</v>
      </c>
      <c r="CV12" s="40">
        <f t="shared" si="27"/>
        <v>24080.373577255232</v>
      </c>
      <c r="CW12" s="40">
        <f t="shared" si="27"/>
        <v>24080.373577255232</v>
      </c>
      <c r="CX12" s="40">
        <f t="shared" si="27"/>
        <v>24080.373577255232</v>
      </c>
      <c r="CY12" s="40">
        <f t="shared" si="27"/>
        <v>24080.373577255232</v>
      </c>
      <c r="CZ12" s="40">
        <f t="shared" si="27"/>
        <v>24080.373577255232</v>
      </c>
      <c r="DA12" s="40">
        <f t="shared" si="28"/>
        <v>24080.373577255232</v>
      </c>
      <c r="DB12" s="40">
        <f t="shared" si="28"/>
        <v>24080.373577255232</v>
      </c>
      <c r="DC12" s="40">
        <f t="shared" si="28"/>
        <v>24802.784784572887</v>
      </c>
      <c r="DD12" s="40">
        <f t="shared" si="28"/>
        <v>24802.784784572887</v>
      </c>
      <c r="DE12" s="40">
        <f t="shared" si="28"/>
        <v>24802.784784572887</v>
      </c>
      <c r="DF12" s="40">
        <f t="shared" si="28"/>
        <v>24802.784784572887</v>
      </c>
      <c r="DG12" s="40">
        <f t="shared" si="28"/>
        <v>24802.784784572887</v>
      </c>
      <c r="DH12" s="40">
        <f t="shared" si="28"/>
        <v>24802.784784572887</v>
      </c>
      <c r="DI12" s="40">
        <f t="shared" si="28"/>
        <v>24802.784784572887</v>
      </c>
      <c r="DJ12" s="40">
        <f t="shared" si="28"/>
        <v>24802.784784572887</v>
      </c>
      <c r="DK12" s="40">
        <f t="shared" si="29"/>
        <v>24802.784784572887</v>
      </c>
      <c r="DL12" s="40">
        <f t="shared" si="29"/>
        <v>24802.784784572887</v>
      </c>
      <c r="DM12" s="40">
        <f t="shared" si="29"/>
        <v>24802.784784572887</v>
      </c>
      <c r="DN12" s="40">
        <f t="shared" si="29"/>
        <v>24802.784784572887</v>
      </c>
      <c r="DO12" s="40">
        <f t="shared" si="29"/>
        <v>25546.868328110071</v>
      </c>
      <c r="DP12" s="40">
        <f t="shared" si="29"/>
        <v>25546.868328110071</v>
      </c>
      <c r="DQ12" s="40">
        <f t="shared" si="29"/>
        <v>25546.868328110071</v>
      </c>
      <c r="DR12" s="40">
        <f t="shared" si="29"/>
        <v>25546.868328110071</v>
      </c>
      <c r="DS12" s="40">
        <f t="shared" si="29"/>
        <v>25546.868328110071</v>
      </c>
      <c r="DT12" s="40">
        <f t="shared" si="29"/>
        <v>25546.868328110071</v>
      </c>
      <c r="DU12" s="40">
        <f t="shared" si="30"/>
        <v>25546.868328110071</v>
      </c>
      <c r="DV12" s="40">
        <f t="shared" si="30"/>
        <v>25546.868328110071</v>
      </c>
      <c r="DW12" s="40">
        <f t="shared" si="30"/>
        <v>25546.868328110071</v>
      </c>
      <c r="DX12" s="40">
        <f t="shared" si="30"/>
        <v>25546.868328110071</v>
      </c>
      <c r="DY12" s="40">
        <f t="shared" si="30"/>
        <v>25546.868328110071</v>
      </c>
      <c r="DZ12" s="40">
        <f t="shared" si="30"/>
        <v>25546.868328110071</v>
      </c>
      <c r="EA12" s="40">
        <f t="shared" si="30"/>
        <v>26313.274377953378</v>
      </c>
      <c r="EB12" s="40">
        <f t="shared" si="30"/>
        <v>26313.274377953378</v>
      </c>
      <c r="EC12" s="40">
        <f t="shared" si="30"/>
        <v>26313.274377953378</v>
      </c>
      <c r="ED12" s="40">
        <f t="shared" si="30"/>
        <v>26313.274377953378</v>
      </c>
      <c r="EE12" s="40">
        <f t="shared" si="31"/>
        <v>26313.274377953378</v>
      </c>
      <c r="EF12" s="40">
        <f t="shared" si="31"/>
        <v>26313.274377953378</v>
      </c>
      <c r="EG12" s="40">
        <f t="shared" si="31"/>
        <v>26313.274377953378</v>
      </c>
      <c r="EH12" s="40">
        <f t="shared" si="31"/>
        <v>26313.274377953378</v>
      </c>
      <c r="EI12" s="40">
        <f t="shared" si="31"/>
        <v>26313.274377953378</v>
      </c>
      <c r="EJ12" s="40">
        <f t="shared" si="31"/>
        <v>26313.274377953378</v>
      </c>
      <c r="EK12" s="40">
        <f t="shared" si="31"/>
        <v>26313.274377953378</v>
      </c>
      <c r="EL12" s="40">
        <f t="shared" si="31"/>
        <v>26313.274377953378</v>
      </c>
      <c r="EM12" s="40">
        <f t="shared" si="31"/>
        <v>27102.672609291982</v>
      </c>
      <c r="EN12" s="40">
        <f t="shared" si="31"/>
        <v>27102.672609291982</v>
      </c>
    </row>
    <row r="13" spans="2:144" x14ac:dyDescent="0.35">
      <c r="B13" s="37" t="s">
        <v>272</v>
      </c>
      <c r="C13" s="19" t="s">
        <v>273</v>
      </c>
      <c r="D13" s="20">
        <v>10800</v>
      </c>
      <c r="E13" s="18">
        <f t="shared" si="8"/>
        <v>8.9050131926121379E-3</v>
      </c>
      <c r="F13" s="38">
        <v>44774</v>
      </c>
      <c r="G13" s="38">
        <v>45839</v>
      </c>
      <c r="H13" s="32">
        <v>9.32</v>
      </c>
      <c r="I13" s="28">
        <f t="shared" si="9"/>
        <v>100656</v>
      </c>
      <c r="J13" s="26">
        <v>3.5000000000000003E-2</v>
      </c>
      <c r="K13" s="37" t="s">
        <v>266</v>
      </c>
      <c r="L13" s="32">
        <v>13</v>
      </c>
      <c r="M13" s="37" t="s">
        <v>267</v>
      </c>
      <c r="N13" s="39">
        <f t="shared" si="10"/>
        <v>-16</v>
      </c>
      <c r="O13" s="39">
        <f t="shared" si="11"/>
        <v>19</v>
      </c>
      <c r="P13" s="39">
        <f t="shared" si="12"/>
        <v>20</v>
      </c>
      <c r="Q13" s="39">
        <f t="shared" si="13"/>
        <v>3</v>
      </c>
      <c r="R13" s="39">
        <f t="shared" si="14"/>
        <v>23</v>
      </c>
      <c r="S13" s="39">
        <f t="shared" si="15"/>
        <v>1</v>
      </c>
      <c r="T13" s="39">
        <f t="shared" si="16"/>
        <v>24</v>
      </c>
      <c r="U13" s="39">
        <f t="shared" si="17"/>
        <v>2</v>
      </c>
      <c r="V13" s="39">
        <f t="shared" si="18"/>
        <v>25650</v>
      </c>
      <c r="W13" s="39">
        <f>IF(D13="",0,Retention_Ratio*LC_Ren*LeaseTermYrs*'Rent Roll'!D13*'Rent Roll'!X13+(1-Retention_Ratio)*LC_Ren*LeaseTermYrs*'Rent Roll'!D13*'Rent Roll'!X13)</f>
        <v>22323.599999999999</v>
      </c>
      <c r="X13" s="25">
        <f t="shared" si="19"/>
        <v>13.780000000000001</v>
      </c>
      <c r="Y13" s="40">
        <f t="shared" si="20"/>
        <v>8388</v>
      </c>
      <c r="Z13" s="40">
        <f t="shared" si="20"/>
        <v>8388</v>
      </c>
      <c r="AA13" s="40">
        <f t="shared" si="20"/>
        <v>8388</v>
      </c>
      <c r="AB13" s="40">
        <f t="shared" si="20"/>
        <v>8388</v>
      </c>
      <c r="AC13" s="40">
        <f t="shared" si="20"/>
        <v>8388</v>
      </c>
      <c r="AD13" s="40">
        <f t="shared" si="20"/>
        <v>8388</v>
      </c>
      <c r="AE13" s="40">
        <f t="shared" si="20"/>
        <v>8388</v>
      </c>
      <c r="AF13" s="40">
        <f t="shared" si="20"/>
        <v>8388</v>
      </c>
      <c r="AG13" s="40">
        <f t="shared" si="20"/>
        <v>8388</v>
      </c>
      <c r="AH13" s="40">
        <f t="shared" si="20"/>
        <v>8388</v>
      </c>
      <c r="AI13" s="40">
        <f t="shared" si="21"/>
        <v>8388</v>
      </c>
      <c r="AJ13" s="40">
        <f t="shared" si="21"/>
        <v>8388</v>
      </c>
      <c r="AK13" s="40">
        <f t="shared" si="21"/>
        <v>8681.58</v>
      </c>
      <c r="AL13" s="40">
        <f t="shared" si="21"/>
        <v>8681.58</v>
      </c>
      <c r="AM13" s="40">
        <f t="shared" si="21"/>
        <v>8681.58</v>
      </c>
      <c r="AN13" s="40">
        <f t="shared" si="21"/>
        <v>8681.58</v>
      </c>
      <c r="AO13" s="40">
        <f t="shared" si="21"/>
        <v>8681.58</v>
      </c>
      <c r="AP13" s="40">
        <f t="shared" si="21"/>
        <v>8681.58</v>
      </c>
      <c r="AQ13" s="40">
        <f t="shared" si="21"/>
        <v>8681.58</v>
      </c>
      <c r="AR13" s="40">
        <f t="shared" si="21"/>
        <v>0</v>
      </c>
      <c r="AS13" s="40">
        <f t="shared" si="22"/>
        <v>0</v>
      </c>
      <c r="AT13" s="40">
        <f t="shared" si="22"/>
        <v>0</v>
      </c>
      <c r="AU13" s="40">
        <f t="shared" si="22"/>
        <v>0</v>
      </c>
      <c r="AV13" s="40">
        <f t="shared" si="22"/>
        <v>12402</v>
      </c>
      <c r="AW13" s="40">
        <f t="shared" si="22"/>
        <v>12402</v>
      </c>
      <c r="AX13" s="40">
        <f t="shared" si="22"/>
        <v>12402</v>
      </c>
      <c r="AY13" s="40">
        <f t="shared" si="22"/>
        <v>12402</v>
      </c>
      <c r="AZ13" s="40">
        <f t="shared" si="22"/>
        <v>12402</v>
      </c>
      <c r="BA13" s="40">
        <f t="shared" si="22"/>
        <v>12402</v>
      </c>
      <c r="BB13" s="40">
        <f t="shared" si="22"/>
        <v>12402</v>
      </c>
      <c r="BC13" s="40">
        <f t="shared" si="23"/>
        <v>12402</v>
      </c>
      <c r="BD13" s="40">
        <f t="shared" si="23"/>
        <v>12402</v>
      </c>
      <c r="BE13" s="40">
        <f t="shared" si="23"/>
        <v>12402</v>
      </c>
      <c r="BF13" s="40">
        <f t="shared" si="23"/>
        <v>12402</v>
      </c>
      <c r="BG13" s="40">
        <f t="shared" si="23"/>
        <v>12836.07</v>
      </c>
      <c r="BH13" s="40">
        <f t="shared" si="23"/>
        <v>12836.07</v>
      </c>
      <c r="BI13" s="40">
        <f t="shared" si="23"/>
        <v>12836.07</v>
      </c>
      <c r="BJ13" s="40">
        <f t="shared" si="23"/>
        <v>12836.07</v>
      </c>
      <c r="BK13" s="40">
        <f t="shared" si="23"/>
        <v>12836.07</v>
      </c>
      <c r="BL13" s="40">
        <f t="shared" si="23"/>
        <v>12836.07</v>
      </c>
      <c r="BM13" s="40">
        <f t="shared" si="24"/>
        <v>12836.07</v>
      </c>
      <c r="BN13" s="40">
        <f t="shared" si="24"/>
        <v>12836.07</v>
      </c>
      <c r="BO13" s="40">
        <f t="shared" si="24"/>
        <v>12836.07</v>
      </c>
      <c r="BP13" s="40">
        <f t="shared" si="24"/>
        <v>12836.07</v>
      </c>
      <c r="BQ13" s="40">
        <f t="shared" si="24"/>
        <v>12836.07</v>
      </c>
      <c r="BR13" s="40">
        <f t="shared" si="24"/>
        <v>12836.07</v>
      </c>
      <c r="BS13" s="40">
        <f t="shared" si="24"/>
        <v>13285.33245</v>
      </c>
      <c r="BT13" s="40">
        <f t="shared" si="24"/>
        <v>13285.33245</v>
      </c>
      <c r="BU13" s="40">
        <f t="shared" si="24"/>
        <v>13285.33245</v>
      </c>
      <c r="BV13" s="40">
        <f t="shared" si="24"/>
        <v>13285.33245</v>
      </c>
      <c r="BW13" s="40">
        <f t="shared" si="25"/>
        <v>13285.33245</v>
      </c>
      <c r="BX13" s="40">
        <f t="shared" si="25"/>
        <v>13285.33245</v>
      </c>
      <c r="BY13" s="40">
        <f t="shared" si="25"/>
        <v>13285.33245</v>
      </c>
      <c r="BZ13" s="40">
        <f t="shared" si="25"/>
        <v>13285.33245</v>
      </c>
      <c r="CA13" s="40">
        <f t="shared" si="25"/>
        <v>13285.33245</v>
      </c>
      <c r="CB13" s="40">
        <f t="shared" si="25"/>
        <v>13285.33245</v>
      </c>
      <c r="CC13" s="40">
        <f t="shared" si="25"/>
        <v>13285.33245</v>
      </c>
      <c r="CD13" s="40">
        <f t="shared" si="25"/>
        <v>13285.33245</v>
      </c>
      <c r="CE13" s="40">
        <f t="shared" si="25"/>
        <v>13750.319085749996</v>
      </c>
      <c r="CF13" s="40">
        <f t="shared" si="25"/>
        <v>13750.319085749996</v>
      </c>
      <c r="CG13" s="40">
        <f t="shared" si="26"/>
        <v>13750.319085749996</v>
      </c>
      <c r="CH13" s="40">
        <f t="shared" si="26"/>
        <v>13750.319085749996</v>
      </c>
      <c r="CI13" s="40">
        <f t="shared" si="26"/>
        <v>13750.319085749996</v>
      </c>
      <c r="CJ13" s="40">
        <f t="shared" si="26"/>
        <v>13750.319085749996</v>
      </c>
      <c r="CK13" s="40">
        <f t="shared" si="26"/>
        <v>13750.319085749996</v>
      </c>
      <c r="CL13" s="40">
        <f t="shared" si="26"/>
        <v>13750.319085749996</v>
      </c>
      <c r="CM13" s="40">
        <f t="shared" si="26"/>
        <v>13750.319085749996</v>
      </c>
      <c r="CN13" s="40">
        <f t="shared" si="26"/>
        <v>13750.319085749996</v>
      </c>
      <c r="CO13" s="40">
        <f t="shared" si="26"/>
        <v>13750.319085749996</v>
      </c>
      <c r="CP13" s="40">
        <f t="shared" si="26"/>
        <v>13750.319085749996</v>
      </c>
      <c r="CQ13" s="40">
        <f t="shared" si="27"/>
        <v>14231.580253751245</v>
      </c>
      <c r="CR13" s="40">
        <f t="shared" si="27"/>
        <v>14231.580253751245</v>
      </c>
      <c r="CS13" s="40">
        <f t="shared" si="27"/>
        <v>14231.580253751245</v>
      </c>
      <c r="CT13" s="40">
        <f t="shared" si="27"/>
        <v>14231.580253751245</v>
      </c>
      <c r="CU13" s="40">
        <f t="shared" si="27"/>
        <v>14231.580253751245</v>
      </c>
      <c r="CV13" s="40">
        <f t="shared" si="27"/>
        <v>14231.580253751245</v>
      </c>
      <c r="CW13" s="40">
        <f t="shared" si="27"/>
        <v>14231.580253751245</v>
      </c>
      <c r="CX13" s="40">
        <f t="shared" si="27"/>
        <v>14231.580253751245</v>
      </c>
      <c r="CY13" s="40">
        <f t="shared" si="27"/>
        <v>14231.580253751245</v>
      </c>
      <c r="CZ13" s="40">
        <f t="shared" si="27"/>
        <v>14231.580253751245</v>
      </c>
      <c r="DA13" s="40">
        <f t="shared" si="28"/>
        <v>14231.580253751245</v>
      </c>
      <c r="DB13" s="40">
        <f t="shared" si="28"/>
        <v>14231.580253751245</v>
      </c>
      <c r="DC13" s="40">
        <f t="shared" si="28"/>
        <v>14729.685562632536</v>
      </c>
      <c r="DD13" s="40">
        <f t="shared" si="28"/>
        <v>14729.685562632536</v>
      </c>
      <c r="DE13" s="40">
        <f t="shared" si="28"/>
        <v>14729.685562632536</v>
      </c>
      <c r="DF13" s="40">
        <f t="shared" si="28"/>
        <v>14729.685562632536</v>
      </c>
      <c r="DG13" s="40">
        <f t="shared" si="28"/>
        <v>14729.685562632536</v>
      </c>
      <c r="DH13" s="40">
        <f t="shared" si="28"/>
        <v>14729.685562632536</v>
      </c>
      <c r="DI13" s="40">
        <f t="shared" si="28"/>
        <v>14729.685562632536</v>
      </c>
      <c r="DJ13" s="40">
        <f t="shared" si="28"/>
        <v>14729.685562632536</v>
      </c>
      <c r="DK13" s="40">
        <f t="shared" si="29"/>
        <v>14729.685562632536</v>
      </c>
      <c r="DL13" s="40">
        <f t="shared" si="29"/>
        <v>14729.685562632536</v>
      </c>
      <c r="DM13" s="40">
        <f t="shared" si="29"/>
        <v>14729.685562632536</v>
      </c>
      <c r="DN13" s="40">
        <f t="shared" si="29"/>
        <v>14729.685562632536</v>
      </c>
      <c r="DO13" s="40">
        <f t="shared" si="29"/>
        <v>15245.224557324676</v>
      </c>
      <c r="DP13" s="40">
        <f t="shared" si="29"/>
        <v>15245.224557324676</v>
      </c>
      <c r="DQ13" s="40">
        <f t="shared" si="29"/>
        <v>15245.224557324676</v>
      </c>
      <c r="DR13" s="40">
        <f t="shared" si="29"/>
        <v>15245.224557324676</v>
      </c>
      <c r="DS13" s="40">
        <f t="shared" si="29"/>
        <v>15245.224557324676</v>
      </c>
      <c r="DT13" s="40">
        <f t="shared" si="29"/>
        <v>15245.224557324676</v>
      </c>
      <c r="DU13" s="40">
        <f t="shared" si="30"/>
        <v>15245.224557324676</v>
      </c>
      <c r="DV13" s="40">
        <f t="shared" si="30"/>
        <v>15245.224557324676</v>
      </c>
      <c r="DW13" s="40">
        <f t="shared" si="30"/>
        <v>15245.224557324676</v>
      </c>
      <c r="DX13" s="40">
        <f t="shared" si="30"/>
        <v>15245.224557324676</v>
      </c>
      <c r="DY13" s="40">
        <f t="shared" si="30"/>
        <v>15245.224557324676</v>
      </c>
      <c r="DZ13" s="40">
        <f t="shared" si="30"/>
        <v>15245.224557324676</v>
      </c>
      <c r="EA13" s="40">
        <f t="shared" si="30"/>
        <v>15778.80741683104</v>
      </c>
      <c r="EB13" s="40">
        <f t="shared" si="30"/>
        <v>15778.80741683104</v>
      </c>
      <c r="EC13" s="40">
        <f t="shared" si="30"/>
        <v>15778.80741683104</v>
      </c>
      <c r="ED13" s="40">
        <f t="shared" si="30"/>
        <v>15778.80741683104</v>
      </c>
      <c r="EE13" s="40">
        <f t="shared" si="31"/>
        <v>15778.80741683104</v>
      </c>
      <c r="EF13" s="40">
        <f t="shared" si="31"/>
        <v>15778.80741683104</v>
      </c>
      <c r="EG13" s="40">
        <f t="shared" si="31"/>
        <v>15778.80741683104</v>
      </c>
      <c r="EH13" s="40">
        <f t="shared" si="31"/>
        <v>15778.80741683104</v>
      </c>
      <c r="EI13" s="40">
        <f t="shared" si="31"/>
        <v>15778.80741683104</v>
      </c>
      <c r="EJ13" s="40">
        <f t="shared" si="31"/>
        <v>15778.80741683104</v>
      </c>
      <c r="EK13" s="40">
        <f t="shared" si="31"/>
        <v>15778.80741683104</v>
      </c>
      <c r="EL13" s="40">
        <f t="shared" si="31"/>
        <v>15778.80741683104</v>
      </c>
      <c r="EM13" s="40">
        <f t="shared" si="31"/>
        <v>16331.065676420121</v>
      </c>
      <c r="EN13" s="40">
        <f t="shared" si="31"/>
        <v>16331.065676420121</v>
      </c>
    </row>
    <row r="14" spans="2:144" x14ac:dyDescent="0.35">
      <c r="B14" s="37" t="s">
        <v>274</v>
      </c>
      <c r="C14" s="19" t="s">
        <v>275</v>
      </c>
      <c r="D14" s="20">
        <v>7200</v>
      </c>
      <c r="E14" s="18">
        <f t="shared" si="8"/>
        <v>5.9366754617414244E-3</v>
      </c>
      <c r="F14" s="38">
        <v>44562</v>
      </c>
      <c r="G14" s="38">
        <v>46419</v>
      </c>
      <c r="H14" s="32">
        <v>8.76</v>
      </c>
      <c r="I14" s="28">
        <f t="shared" si="9"/>
        <v>63072</v>
      </c>
      <c r="J14" s="26">
        <v>0.03</v>
      </c>
      <c r="K14" s="37" t="s">
        <v>266</v>
      </c>
      <c r="L14" s="32">
        <v>13</v>
      </c>
      <c r="M14" s="37" t="s">
        <v>267</v>
      </c>
      <c r="N14" s="39">
        <f t="shared" si="10"/>
        <v>-23</v>
      </c>
      <c r="O14" s="39">
        <f t="shared" si="11"/>
        <v>38</v>
      </c>
      <c r="P14" s="39">
        <f t="shared" si="12"/>
        <v>39</v>
      </c>
      <c r="Q14" s="39">
        <f t="shared" si="13"/>
        <v>3</v>
      </c>
      <c r="R14" s="39">
        <f t="shared" si="14"/>
        <v>42</v>
      </c>
      <c r="S14" s="39">
        <f t="shared" si="15"/>
        <v>1</v>
      </c>
      <c r="T14" s="39">
        <f t="shared" si="16"/>
        <v>43</v>
      </c>
      <c r="U14" s="39">
        <f t="shared" si="17"/>
        <v>4</v>
      </c>
      <c r="V14" s="39">
        <f t="shared" si="18"/>
        <v>17100</v>
      </c>
      <c r="W14" s="39">
        <f>IF(D14="",0,Retention_Ratio*LC_Ren*LeaseTermYrs*'Rent Roll'!D14*'Rent Roll'!X14+(1-Retention_Ratio)*LC_Ren*LeaseTermYrs*'Rent Roll'!D14*'Rent Roll'!X14)</f>
        <v>16251.952859999998</v>
      </c>
      <c r="X14" s="25">
        <f t="shared" si="19"/>
        <v>15.048104499999999</v>
      </c>
      <c r="Y14" s="40">
        <f t="shared" si="20"/>
        <v>5256</v>
      </c>
      <c r="Z14" s="40">
        <f t="shared" si="20"/>
        <v>5256</v>
      </c>
      <c r="AA14" s="40">
        <f t="shared" si="20"/>
        <v>5256</v>
      </c>
      <c r="AB14" s="40">
        <f t="shared" si="20"/>
        <v>5256</v>
      </c>
      <c r="AC14" s="40">
        <f t="shared" si="20"/>
        <v>5256</v>
      </c>
      <c r="AD14" s="40">
        <f t="shared" si="20"/>
        <v>5256</v>
      </c>
      <c r="AE14" s="40">
        <f t="shared" si="20"/>
        <v>5256</v>
      </c>
      <c r="AF14" s="40">
        <f t="shared" si="20"/>
        <v>5256</v>
      </c>
      <c r="AG14" s="40">
        <f t="shared" si="20"/>
        <v>5256</v>
      </c>
      <c r="AH14" s="40">
        <f t="shared" si="20"/>
        <v>5256</v>
      </c>
      <c r="AI14" s="40">
        <f t="shared" si="21"/>
        <v>5256</v>
      </c>
      <c r="AJ14" s="40">
        <f t="shared" si="21"/>
        <v>5256</v>
      </c>
      <c r="AK14" s="40">
        <f t="shared" si="21"/>
        <v>5413.68</v>
      </c>
      <c r="AL14" s="40">
        <f t="shared" si="21"/>
        <v>5413.68</v>
      </c>
      <c r="AM14" s="40">
        <f t="shared" si="21"/>
        <v>5413.68</v>
      </c>
      <c r="AN14" s="40">
        <f t="shared" si="21"/>
        <v>5413.68</v>
      </c>
      <c r="AO14" s="40">
        <f t="shared" si="21"/>
        <v>5413.68</v>
      </c>
      <c r="AP14" s="40">
        <f t="shared" si="21"/>
        <v>5413.68</v>
      </c>
      <c r="AQ14" s="40">
        <f t="shared" si="21"/>
        <v>5413.68</v>
      </c>
      <c r="AR14" s="40">
        <f t="shared" si="21"/>
        <v>5413.68</v>
      </c>
      <c r="AS14" s="40">
        <f t="shared" si="22"/>
        <v>5413.68</v>
      </c>
      <c r="AT14" s="40">
        <f t="shared" si="22"/>
        <v>5413.68</v>
      </c>
      <c r="AU14" s="40">
        <f t="shared" si="22"/>
        <v>5413.68</v>
      </c>
      <c r="AV14" s="40">
        <f t="shared" si="22"/>
        <v>5413.68</v>
      </c>
      <c r="AW14" s="40">
        <f t="shared" si="22"/>
        <v>5576.0904</v>
      </c>
      <c r="AX14" s="40">
        <f t="shared" si="22"/>
        <v>5576.0904</v>
      </c>
      <c r="AY14" s="40">
        <f t="shared" si="22"/>
        <v>5576.0904</v>
      </c>
      <c r="AZ14" s="40">
        <f t="shared" si="22"/>
        <v>5576.0904</v>
      </c>
      <c r="BA14" s="40">
        <f t="shared" si="22"/>
        <v>5576.0904</v>
      </c>
      <c r="BB14" s="40">
        <f t="shared" si="22"/>
        <v>5576.0904</v>
      </c>
      <c r="BC14" s="40">
        <f t="shared" si="23"/>
        <v>5576.0904</v>
      </c>
      <c r="BD14" s="40">
        <f t="shared" si="23"/>
        <v>5576.0904</v>
      </c>
      <c r="BE14" s="40">
        <f t="shared" si="23"/>
        <v>5576.0904</v>
      </c>
      <c r="BF14" s="40">
        <f t="shared" si="23"/>
        <v>5576.0904</v>
      </c>
      <c r="BG14" s="40">
        <f t="shared" si="23"/>
        <v>5576.0904</v>
      </c>
      <c r="BH14" s="40">
        <f t="shared" si="23"/>
        <v>5576.0904</v>
      </c>
      <c r="BI14" s="40">
        <f t="shared" si="23"/>
        <v>5743.3731120000002</v>
      </c>
      <c r="BJ14" s="40">
        <f t="shared" si="23"/>
        <v>5743.3731120000002</v>
      </c>
      <c r="BK14" s="40">
        <f t="shared" si="23"/>
        <v>0</v>
      </c>
      <c r="BL14" s="40">
        <f t="shared" si="23"/>
        <v>0</v>
      </c>
      <c r="BM14" s="40">
        <f t="shared" si="24"/>
        <v>0</v>
      </c>
      <c r="BN14" s="40">
        <f t="shared" si="24"/>
        <v>0</v>
      </c>
      <c r="BO14" s="40">
        <f t="shared" si="24"/>
        <v>9028.8626999999997</v>
      </c>
      <c r="BP14" s="40">
        <f t="shared" si="24"/>
        <v>9028.8626999999997</v>
      </c>
      <c r="BQ14" s="40">
        <f t="shared" si="24"/>
        <v>9028.8626999999997</v>
      </c>
      <c r="BR14" s="40">
        <f t="shared" si="24"/>
        <v>9028.8626999999997</v>
      </c>
      <c r="BS14" s="40">
        <f t="shared" si="24"/>
        <v>9028.8626999999997</v>
      </c>
      <c r="BT14" s="40">
        <f t="shared" si="24"/>
        <v>9028.8626999999997</v>
      </c>
      <c r="BU14" s="40">
        <f t="shared" si="24"/>
        <v>9028.8626999999997</v>
      </c>
      <c r="BV14" s="40">
        <f t="shared" si="24"/>
        <v>9028.8626999999997</v>
      </c>
      <c r="BW14" s="40">
        <f t="shared" si="25"/>
        <v>9028.8626999999997</v>
      </c>
      <c r="BX14" s="40">
        <f t="shared" si="25"/>
        <v>9028.8626999999997</v>
      </c>
      <c r="BY14" s="40">
        <f t="shared" si="25"/>
        <v>9028.8626999999997</v>
      </c>
      <c r="BZ14" s="40">
        <f t="shared" si="25"/>
        <v>9299.7285809999994</v>
      </c>
      <c r="CA14" s="40">
        <f t="shared" si="25"/>
        <v>9299.7285809999994</v>
      </c>
      <c r="CB14" s="40">
        <f t="shared" si="25"/>
        <v>9299.7285809999994</v>
      </c>
      <c r="CC14" s="40">
        <f t="shared" si="25"/>
        <v>9299.7285809999994</v>
      </c>
      <c r="CD14" s="40">
        <f t="shared" si="25"/>
        <v>9299.7285809999994</v>
      </c>
      <c r="CE14" s="40">
        <f t="shared" si="25"/>
        <v>9299.7285809999994</v>
      </c>
      <c r="CF14" s="40">
        <f t="shared" si="25"/>
        <v>9299.7285809999994</v>
      </c>
      <c r="CG14" s="40">
        <f t="shared" si="26"/>
        <v>9299.7285809999994</v>
      </c>
      <c r="CH14" s="40">
        <f t="shared" si="26"/>
        <v>9299.7285809999994</v>
      </c>
      <c r="CI14" s="40">
        <f t="shared" si="26"/>
        <v>9299.7285809999994</v>
      </c>
      <c r="CJ14" s="40">
        <f t="shared" si="26"/>
        <v>9299.7285809999994</v>
      </c>
      <c r="CK14" s="40">
        <f t="shared" si="26"/>
        <v>9299.7285809999994</v>
      </c>
      <c r="CL14" s="40">
        <f t="shared" si="26"/>
        <v>9578.7204384299985</v>
      </c>
      <c r="CM14" s="40">
        <f t="shared" si="26"/>
        <v>9578.7204384299985</v>
      </c>
      <c r="CN14" s="40">
        <f t="shared" si="26"/>
        <v>9578.7204384299985</v>
      </c>
      <c r="CO14" s="40">
        <f t="shared" si="26"/>
        <v>9578.7204384299985</v>
      </c>
      <c r="CP14" s="40">
        <f t="shared" si="26"/>
        <v>9578.7204384299985</v>
      </c>
      <c r="CQ14" s="40">
        <f t="shared" si="27"/>
        <v>9578.7204384299985</v>
      </c>
      <c r="CR14" s="40">
        <f t="shared" si="27"/>
        <v>9578.7204384299985</v>
      </c>
      <c r="CS14" s="40">
        <f t="shared" si="27"/>
        <v>9578.7204384299985</v>
      </c>
      <c r="CT14" s="40">
        <f t="shared" si="27"/>
        <v>9578.7204384299985</v>
      </c>
      <c r="CU14" s="40">
        <f t="shared" si="27"/>
        <v>9578.7204384299985</v>
      </c>
      <c r="CV14" s="40">
        <f t="shared" si="27"/>
        <v>9578.7204384299985</v>
      </c>
      <c r="CW14" s="40">
        <f t="shared" si="27"/>
        <v>9578.7204384299985</v>
      </c>
      <c r="CX14" s="40">
        <f t="shared" si="27"/>
        <v>9866.0820515828982</v>
      </c>
      <c r="CY14" s="40">
        <f t="shared" si="27"/>
        <v>9866.0820515828982</v>
      </c>
      <c r="CZ14" s="40">
        <f t="shared" si="27"/>
        <v>9866.0820515828982</v>
      </c>
      <c r="DA14" s="40">
        <f t="shared" si="28"/>
        <v>9866.0820515828982</v>
      </c>
      <c r="DB14" s="40">
        <f t="shared" si="28"/>
        <v>9866.0820515828982</v>
      </c>
      <c r="DC14" s="40">
        <f t="shared" si="28"/>
        <v>9866.0820515828982</v>
      </c>
      <c r="DD14" s="40">
        <f t="shared" si="28"/>
        <v>9866.0820515828982</v>
      </c>
      <c r="DE14" s="40">
        <f t="shared" si="28"/>
        <v>9866.0820515828982</v>
      </c>
      <c r="DF14" s="40">
        <f t="shared" si="28"/>
        <v>9866.0820515828982</v>
      </c>
      <c r="DG14" s="40">
        <f t="shared" si="28"/>
        <v>9866.0820515828982</v>
      </c>
      <c r="DH14" s="40">
        <f t="shared" si="28"/>
        <v>9866.0820515828982</v>
      </c>
      <c r="DI14" s="40">
        <f t="shared" si="28"/>
        <v>9866.0820515828982</v>
      </c>
      <c r="DJ14" s="40">
        <f t="shared" si="28"/>
        <v>10162.064513130385</v>
      </c>
      <c r="DK14" s="40">
        <f t="shared" si="29"/>
        <v>10162.064513130385</v>
      </c>
      <c r="DL14" s="40">
        <f t="shared" si="29"/>
        <v>10162.064513130385</v>
      </c>
      <c r="DM14" s="40">
        <f t="shared" si="29"/>
        <v>10162.064513130385</v>
      </c>
      <c r="DN14" s="40">
        <f t="shared" si="29"/>
        <v>10162.064513130385</v>
      </c>
      <c r="DO14" s="40">
        <f t="shared" si="29"/>
        <v>10162.064513130385</v>
      </c>
      <c r="DP14" s="40">
        <f t="shared" si="29"/>
        <v>10162.064513130385</v>
      </c>
      <c r="DQ14" s="40">
        <f t="shared" si="29"/>
        <v>10162.064513130385</v>
      </c>
      <c r="DR14" s="40">
        <f t="shared" si="29"/>
        <v>10162.064513130385</v>
      </c>
      <c r="DS14" s="40">
        <f t="shared" si="29"/>
        <v>10162.064513130385</v>
      </c>
      <c r="DT14" s="40">
        <f t="shared" si="29"/>
        <v>10162.064513130385</v>
      </c>
      <c r="DU14" s="40">
        <f t="shared" si="30"/>
        <v>10162.064513130385</v>
      </c>
      <c r="DV14" s="40">
        <f t="shared" si="30"/>
        <v>10466.926448524297</v>
      </c>
      <c r="DW14" s="40">
        <f t="shared" si="30"/>
        <v>10466.926448524297</v>
      </c>
      <c r="DX14" s="40">
        <f t="shared" si="30"/>
        <v>10466.926448524297</v>
      </c>
      <c r="DY14" s="40">
        <f t="shared" si="30"/>
        <v>10466.926448524297</v>
      </c>
      <c r="DZ14" s="40">
        <f t="shared" si="30"/>
        <v>10466.926448524297</v>
      </c>
      <c r="EA14" s="40">
        <f t="shared" si="30"/>
        <v>10466.926448524297</v>
      </c>
      <c r="EB14" s="40">
        <f t="shared" si="30"/>
        <v>10466.926448524297</v>
      </c>
      <c r="EC14" s="40">
        <f t="shared" si="30"/>
        <v>10466.926448524297</v>
      </c>
      <c r="ED14" s="40">
        <f t="shared" si="30"/>
        <v>10466.926448524297</v>
      </c>
      <c r="EE14" s="40">
        <f t="shared" si="31"/>
        <v>10466.926448524297</v>
      </c>
      <c r="EF14" s="40">
        <f t="shared" si="31"/>
        <v>10466.926448524297</v>
      </c>
      <c r="EG14" s="40">
        <f t="shared" si="31"/>
        <v>10466.926448524297</v>
      </c>
      <c r="EH14" s="40">
        <f t="shared" si="31"/>
        <v>10780.934241980025</v>
      </c>
      <c r="EI14" s="40">
        <f t="shared" si="31"/>
        <v>10780.934241980025</v>
      </c>
      <c r="EJ14" s="40">
        <f t="shared" si="31"/>
        <v>10780.934241980025</v>
      </c>
      <c r="EK14" s="40">
        <f t="shared" si="31"/>
        <v>10780.934241980025</v>
      </c>
      <c r="EL14" s="40">
        <f t="shared" si="31"/>
        <v>10780.934241980025</v>
      </c>
      <c r="EM14" s="40">
        <f t="shared" si="31"/>
        <v>10780.934241980025</v>
      </c>
      <c r="EN14" s="40">
        <f t="shared" si="31"/>
        <v>10780.934241980025</v>
      </c>
    </row>
    <row r="15" spans="2:144" x14ac:dyDescent="0.35">
      <c r="B15" s="37" t="s">
        <v>276</v>
      </c>
      <c r="C15" s="19" t="s">
        <v>277</v>
      </c>
      <c r="D15" s="20">
        <v>7200</v>
      </c>
      <c r="E15" s="18">
        <f t="shared" si="8"/>
        <v>5.9366754617414244E-3</v>
      </c>
      <c r="F15" s="38">
        <v>44593</v>
      </c>
      <c r="G15" s="38">
        <v>45658</v>
      </c>
      <c r="H15" s="32">
        <v>8.58</v>
      </c>
      <c r="I15" s="28">
        <f t="shared" si="9"/>
        <v>61776</v>
      </c>
      <c r="J15" s="26">
        <v>0.04</v>
      </c>
      <c r="K15" s="37" t="s">
        <v>266</v>
      </c>
      <c r="L15" s="32">
        <v>13</v>
      </c>
      <c r="M15" s="37" t="s">
        <v>278</v>
      </c>
      <c r="N15" s="39">
        <f t="shared" si="10"/>
        <v>-22</v>
      </c>
      <c r="O15" s="39">
        <f t="shared" si="11"/>
        <v>13</v>
      </c>
      <c r="P15" s="39">
        <f t="shared" si="12"/>
        <v>14</v>
      </c>
      <c r="Q15" s="39">
        <f t="shared" si="13"/>
        <v>3</v>
      </c>
      <c r="R15" s="39">
        <f t="shared" si="14"/>
        <v>17</v>
      </c>
      <c r="S15" s="39">
        <f t="shared" si="15"/>
        <v>1</v>
      </c>
      <c r="T15" s="39">
        <f t="shared" si="16"/>
        <v>18</v>
      </c>
      <c r="U15" s="39">
        <f t="shared" si="17"/>
        <v>2</v>
      </c>
      <c r="V15" s="39">
        <f t="shared" si="18"/>
        <v>17100</v>
      </c>
      <c r="W15" s="39">
        <f>IF(D15="",0,Retention_Ratio*LC_Ren*LeaseTermYrs*'Rent Roll'!D15*'Rent Roll'!X15+(1-Retention_Ratio)*LC_Ren*LeaseTermYrs*'Rent Roll'!D15*'Rent Roll'!X15)</f>
        <v>14882.4</v>
      </c>
      <c r="X15" s="25">
        <f t="shared" si="19"/>
        <v>13.780000000000001</v>
      </c>
      <c r="Y15" s="40">
        <f t="shared" si="20"/>
        <v>5148</v>
      </c>
      <c r="Z15" s="40">
        <f t="shared" si="20"/>
        <v>5148</v>
      </c>
      <c r="AA15" s="40">
        <f t="shared" si="20"/>
        <v>5148</v>
      </c>
      <c r="AB15" s="40">
        <f t="shared" si="20"/>
        <v>5148</v>
      </c>
      <c r="AC15" s="40">
        <f t="shared" si="20"/>
        <v>5148</v>
      </c>
      <c r="AD15" s="40">
        <f t="shared" si="20"/>
        <v>5148</v>
      </c>
      <c r="AE15" s="40">
        <f t="shared" si="20"/>
        <v>5148</v>
      </c>
      <c r="AF15" s="40">
        <f t="shared" si="20"/>
        <v>5148</v>
      </c>
      <c r="AG15" s="40">
        <f t="shared" si="20"/>
        <v>5148</v>
      </c>
      <c r="AH15" s="40">
        <f t="shared" si="20"/>
        <v>5148</v>
      </c>
      <c r="AI15" s="40">
        <f t="shared" si="21"/>
        <v>5148</v>
      </c>
      <c r="AJ15" s="40">
        <f t="shared" si="21"/>
        <v>5148</v>
      </c>
      <c r="AK15" s="40">
        <f t="shared" si="21"/>
        <v>5353.92</v>
      </c>
      <c r="AL15" s="40">
        <f t="shared" si="21"/>
        <v>0</v>
      </c>
      <c r="AM15" s="40">
        <f t="shared" si="21"/>
        <v>0</v>
      </c>
      <c r="AN15" s="40">
        <f t="shared" si="21"/>
        <v>0</v>
      </c>
      <c r="AO15" s="40">
        <f t="shared" si="21"/>
        <v>0</v>
      </c>
      <c r="AP15" s="40">
        <f t="shared" si="21"/>
        <v>8268.0000000000018</v>
      </c>
      <c r="AQ15" s="40">
        <f t="shared" si="21"/>
        <v>8268.0000000000018</v>
      </c>
      <c r="AR15" s="40">
        <f t="shared" si="21"/>
        <v>8268.0000000000018</v>
      </c>
      <c r="AS15" s="40">
        <f t="shared" si="22"/>
        <v>8268.0000000000018</v>
      </c>
      <c r="AT15" s="40">
        <f t="shared" si="22"/>
        <v>8268.0000000000018</v>
      </c>
      <c r="AU15" s="40">
        <f t="shared" si="22"/>
        <v>8268.0000000000018</v>
      </c>
      <c r="AV15" s="40">
        <f t="shared" si="22"/>
        <v>8268.0000000000018</v>
      </c>
      <c r="AW15" s="40">
        <f t="shared" si="22"/>
        <v>8268.0000000000018</v>
      </c>
      <c r="AX15" s="40">
        <f t="shared" si="22"/>
        <v>8268.0000000000018</v>
      </c>
      <c r="AY15" s="40">
        <f t="shared" si="22"/>
        <v>8268.0000000000018</v>
      </c>
      <c r="AZ15" s="40">
        <f t="shared" si="22"/>
        <v>8268.0000000000018</v>
      </c>
      <c r="BA15" s="40">
        <f t="shared" si="22"/>
        <v>8598.7200000000012</v>
      </c>
      <c r="BB15" s="40">
        <f t="shared" si="22"/>
        <v>8598.7200000000012</v>
      </c>
      <c r="BC15" s="40">
        <f t="shared" si="23"/>
        <v>8598.7200000000012</v>
      </c>
      <c r="BD15" s="40">
        <f t="shared" si="23"/>
        <v>8598.7200000000012</v>
      </c>
      <c r="BE15" s="40">
        <f t="shared" si="23"/>
        <v>8598.7200000000012</v>
      </c>
      <c r="BF15" s="40">
        <f t="shared" si="23"/>
        <v>8598.7200000000012</v>
      </c>
      <c r="BG15" s="40">
        <f t="shared" si="23"/>
        <v>8598.7200000000012</v>
      </c>
      <c r="BH15" s="40">
        <f t="shared" si="23"/>
        <v>8598.7200000000012</v>
      </c>
      <c r="BI15" s="40">
        <f t="shared" si="23"/>
        <v>8598.7200000000012</v>
      </c>
      <c r="BJ15" s="40">
        <f t="shared" si="23"/>
        <v>8598.7200000000012</v>
      </c>
      <c r="BK15" s="40">
        <f t="shared" si="23"/>
        <v>8598.7200000000012</v>
      </c>
      <c r="BL15" s="40">
        <f t="shared" si="23"/>
        <v>8598.7200000000012</v>
      </c>
      <c r="BM15" s="40">
        <f t="shared" si="24"/>
        <v>8942.6688000000013</v>
      </c>
      <c r="BN15" s="40">
        <f t="shared" si="24"/>
        <v>8942.6688000000013</v>
      </c>
      <c r="BO15" s="40">
        <f t="shared" si="24"/>
        <v>8942.6688000000013</v>
      </c>
      <c r="BP15" s="40">
        <f t="shared" si="24"/>
        <v>8942.6688000000013</v>
      </c>
      <c r="BQ15" s="40">
        <f t="shared" si="24"/>
        <v>8942.6688000000013</v>
      </c>
      <c r="BR15" s="40">
        <f t="shared" si="24"/>
        <v>8942.6688000000013</v>
      </c>
      <c r="BS15" s="40">
        <f t="shared" si="24"/>
        <v>8942.6688000000013</v>
      </c>
      <c r="BT15" s="40">
        <f t="shared" si="24"/>
        <v>8942.6688000000013</v>
      </c>
      <c r="BU15" s="40">
        <f t="shared" si="24"/>
        <v>8942.6688000000013</v>
      </c>
      <c r="BV15" s="40">
        <f t="shared" si="24"/>
        <v>8942.6688000000013</v>
      </c>
      <c r="BW15" s="40">
        <f t="shared" si="25"/>
        <v>8942.6688000000013</v>
      </c>
      <c r="BX15" s="40">
        <f t="shared" si="25"/>
        <v>8942.6688000000013</v>
      </c>
      <c r="BY15" s="40">
        <f t="shared" si="25"/>
        <v>9300.3755520000032</v>
      </c>
      <c r="BZ15" s="40">
        <f t="shared" si="25"/>
        <v>9300.3755520000032</v>
      </c>
      <c r="CA15" s="40">
        <f t="shared" si="25"/>
        <v>9300.3755520000032</v>
      </c>
      <c r="CB15" s="40">
        <f t="shared" si="25"/>
        <v>9300.3755520000032</v>
      </c>
      <c r="CC15" s="40">
        <f t="shared" si="25"/>
        <v>9300.3755520000032</v>
      </c>
      <c r="CD15" s="40">
        <f t="shared" si="25"/>
        <v>9300.3755520000032</v>
      </c>
      <c r="CE15" s="40">
        <f t="shared" si="25"/>
        <v>9300.3755520000032</v>
      </c>
      <c r="CF15" s="40">
        <f t="shared" si="25"/>
        <v>9300.3755520000032</v>
      </c>
      <c r="CG15" s="40">
        <f t="shared" si="26"/>
        <v>9300.3755520000032</v>
      </c>
      <c r="CH15" s="40">
        <f t="shared" si="26"/>
        <v>9300.3755520000032</v>
      </c>
      <c r="CI15" s="40">
        <f t="shared" si="26"/>
        <v>9300.3755520000032</v>
      </c>
      <c r="CJ15" s="40">
        <f t="shared" si="26"/>
        <v>9300.3755520000032</v>
      </c>
      <c r="CK15" s="40">
        <f t="shared" si="26"/>
        <v>9672.3905740800037</v>
      </c>
      <c r="CL15" s="40">
        <f t="shared" si="26"/>
        <v>9672.3905740800037</v>
      </c>
      <c r="CM15" s="40">
        <f t="shared" si="26"/>
        <v>9672.3905740800037</v>
      </c>
      <c r="CN15" s="40">
        <f t="shared" si="26"/>
        <v>9672.3905740800037</v>
      </c>
      <c r="CO15" s="40">
        <f t="shared" si="26"/>
        <v>9672.3905740800037</v>
      </c>
      <c r="CP15" s="40">
        <f t="shared" si="26"/>
        <v>9672.3905740800037</v>
      </c>
      <c r="CQ15" s="40">
        <f t="shared" si="27"/>
        <v>9672.3905740800037</v>
      </c>
      <c r="CR15" s="40">
        <f t="shared" si="27"/>
        <v>9672.3905740800037</v>
      </c>
      <c r="CS15" s="40">
        <f t="shared" si="27"/>
        <v>9672.3905740800037</v>
      </c>
      <c r="CT15" s="40">
        <f t="shared" si="27"/>
        <v>9672.3905740800037</v>
      </c>
      <c r="CU15" s="40">
        <f t="shared" si="27"/>
        <v>9672.3905740800037</v>
      </c>
      <c r="CV15" s="40">
        <f t="shared" si="27"/>
        <v>9672.3905740800037</v>
      </c>
      <c r="CW15" s="40">
        <f t="shared" si="27"/>
        <v>10059.286197043204</v>
      </c>
      <c r="CX15" s="40">
        <f t="shared" si="27"/>
        <v>10059.286197043204</v>
      </c>
      <c r="CY15" s="40">
        <f t="shared" si="27"/>
        <v>10059.286197043204</v>
      </c>
      <c r="CZ15" s="40">
        <f t="shared" si="27"/>
        <v>10059.286197043204</v>
      </c>
      <c r="DA15" s="40">
        <f t="shared" si="28"/>
        <v>10059.286197043204</v>
      </c>
      <c r="DB15" s="40">
        <f t="shared" si="28"/>
        <v>10059.286197043204</v>
      </c>
      <c r="DC15" s="40">
        <f t="shared" si="28"/>
        <v>10059.286197043204</v>
      </c>
      <c r="DD15" s="40">
        <f t="shared" si="28"/>
        <v>10059.286197043204</v>
      </c>
      <c r="DE15" s="40">
        <f t="shared" si="28"/>
        <v>10059.286197043204</v>
      </c>
      <c r="DF15" s="40">
        <f t="shared" si="28"/>
        <v>10059.286197043204</v>
      </c>
      <c r="DG15" s="40">
        <f t="shared" si="28"/>
        <v>10059.286197043204</v>
      </c>
      <c r="DH15" s="40">
        <f t="shared" si="28"/>
        <v>10059.286197043204</v>
      </c>
      <c r="DI15" s="40">
        <f t="shared" si="28"/>
        <v>10461.657644924931</v>
      </c>
      <c r="DJ15" s="40">
        <f t="shared" si="28"/>
        <v>10461.657644924931</v>
      </c>
      <c r="DK15" s="40">
        <f t="shared" si="29"/>
        <v>10461.657644924931</v>
      </c>
      <c r="DL15" s="40">
        <f t="shared" si="29"/>
        <v>10461.657644924931</v>
      </c>
      <c r="DM15" s="40">
        <f t="shared" si="29"/>
        <v>10461.657644924931</v>
      </c>
      <c r="DN15" s="40">
        <f t="shared" si="29"/>
        <v>10461.657644924931</v>
      </c>
      <c r="DO15" s="40">
        <f t="shared" si="29"/>
        <v>10461.657644924931</v>
      </c>
      <c r="DP15" s="40">
        <f t="shared" si="29"/>
        <v>10461.657644924931</v>
      </c>
      <c r="DQ15" s="40">
        <f t="shared" si="29"/>
        <v>10461.657644924931</v>
      </c>
      <c r="DR15" s="40">
        <f t="shared" si="29"/>
        <v>10461.657644924931</v>
      </c>
      <c r="DS15" s="40">
        <f t="shared" si="29"/>
        <v>10461.657644924931</v>
      </c>
      <c r="DT15" s="40">
        <f t="shared" si="29"/>
        <v>10461.657644924931</v>
      </c>
      <c r="DU15" s="40">
        <f t="shared" si="30"/>
        <v>10880.123950721929</v>
      </c>
      <c r="DV15" s="40">
        <f t="shared" si="30"/>
        <v>10880.123950721929</v>
      </c>
      <c r="DW15" s="40">
        <f t="shared" si="30"/>
        <v>10880.123950721929</v>
      </c>
      <c r="DX15" s="40">
        <f t="shared" si="30"/>
        <v>10880.123950721929</v>
      </c>
      <c r="DY15" s="40">
        <f t="shared" si="30"/>
        <v>10880.123950721929</v>
      </c>
      <c r="DZ15" s="40">
        <f t="shared" si="30"/>
        <v>10880.123950721929</v>
      </c>
      <c r="EA15" s="40">
        <f t="shared" si="30"/>
        <v>10880.123950721929</v>
      </c>
      <c r="EB15" s="40">
        <f t="shared" si="30"/>
        <v>10880.123950721929</v>
      </c>
      <c r="EC15" s="40">
        <f t="shared" si="30"/>
        <v>10880.123950721929</v>
      </c>
      <c r="ED15" s="40">
        <f t="shared" si="30"/>
        <v>10880.123950721929</v>
      </c>
      <c r="EE15" s="40">
        <f t="shared" si="31"/>
        <v>10880.123950721929</v>
      </c>
      <c r="EF15" s="40">
        <f t="shared" si="31"/>
        <v>10880.123950721929</v>
      </c>
      <c r="EG15" s="40">
        <f t="shared" si="31"/>
        <v>11315.328908750807</v>
      </c>
      <c r="EH15" s="40">
        <f t="shared" si="31"/>
        <v>11315.328908750807</v>
      </c>
      <c r="EI15" s="40">
        <f t="shared" si="31"/>
        <v>11315.328908750807</v>
      </c>
      <c r="EJ15" s="40">
        <f t="shared" si="31"/>
        <v>11315.328908750807</v>
      </c>
      <c r="EK15" s="40">
        <f t="shared" si="31"/>
        <v>11315.328908750807</v>
      </c>
      <c r="EL15" s="40">
        <f t="shared" si="31"/>
        <v>11315.328908750807</v>
      </c>
      <c r="EM15" s="40">
        <f t="shared" si="31"/>
        <v>11315.328908750807</v>
      </c>
      <c r="EN15" s="40">
        <f t="shared" si="31"/>
        <v>11315.328908750807</v>
      </c>
    </row>
    <row r="16" spans="2:144" x14ac:dyDescent="0.35">
      <c r="B16" s="37" t="s">
        <v>279</v>
      </c>
      <c r="C16" s="19" t="s">
        <v>280</v>
      </c>
      <c r="D16" s="20">
        <v>7200</v>
      </c>
      <c r="E16" s="18">
        <f t="shared" si="8"/>
        <v>5.9366754617414244E-3</v>
      </c>
      <c r="F16" s="38">
        <v>44621</v>
      </c>
      <c r="G16" s="38">
        <v>45717</v>
      </c>
      <c r="H16" s="32">
        <v>8.84</v>
      </c>
      <c r="I16" s="28">
        <f t="shared" si="9"/>
        <v>63648</v>
      </c>
      <c r="J16" s="26">
        <v>0.04</v>
      </c>
      <c r="K16" s="37" t="s">
        <v>266</v>
      </c>
      <c r="L16" s="32">
        <v>13</v>
      </c>
      <c r="M16" s="37" t="s">
        <v>267</v>
      </c>
      <c r="N16" s="39">
        <f t="shared" si="10"/>
        <v>-21</v>
      </c>
      <c r="O16" s="39">
        <f t="shared" si="11"/>
        <v>15</v>
      </c>
      <c r="P16" s="39">
        <f t="shared" si="12"/>
        <v>16</v>
      </c>
      <c r="Q16" s="39">
        <f t="shared" si="13"/>
        <v>3</v>
      </c>
      <c r="R16" s="39">
        <f t="shared" si="14"/>
        <v>19</v>
      </c>
      <c r="S16" s="39">
        <f t="shared" si="15"/>
        <v>1</v>
      </c>
      <c r="T16" s="39">
        <f t="shared" si="16"/>
        <v>20</v>
      </c>
      <c r="U16" s="39">
        <f t="shared" si="17"/>
        <v>2</v>
      </c>
      <c r="V16" s="39">
        <f t="shared" si="18"/>
        <v>17100</v>
      </c>
      <c r="W16" s="39">
        <f>IF(D16="",0,Retention_Ratio*LC_Ren*LeaseTermYrs*'Rent Roll'!D16*'Rent Roll'!X16+(1-Retention_Ratio)*LC_Ren*LeaseTermYrs*'Rent Roll'!D16*'Rent Roll'!X16)</f>
        <v>14882.4</v>
      </c>
      <c r="X16" s="25">
        <f t="shared" si="19"/>
        <v>13.780000000000001</v>
      </c>
      <c r="Y16" s="40">
        <f t="shared" si="20"/>
        <v>5304</v>
      </c>
      <c r="Z16" s="40">
        <f t="shared" si="20"/>
        <v>5304</v>
      </c>
      <c r="AA16" s="40">
        <f t="shared" si="20"/>
        <v>5304</v>
      </c>
      <c r="AB16" s="40">
        <f t="shared" si="20"/>
        <v>5304</v>
      </c>
      <c r="AC16" s="40">
        <f t="shared" si="20"/>
        <v>5304</v>
      </c>
      <c r="AD16" s="40">
        <f t="shared" si="20"/>
        <v>5304</v>
      </c>
      <c r="AE16" s="40">
        <f t="shared" si="20"/>
        <v>5304</v>
      </c>
      <c r="AF16" s="40">
        <f t="shared" si="20"/>
        <v>5304</v>
      </c>
      <c r="AG16" s="40">
        <f t="shared" si="20"/>
        <v>5304</v>
      </c>
      <c r="AH16" s="40">
        <f t="shared" si="20"/>
        <v>5304</v>
      </c>
      <c r="AI16" s="40">
        <f t="shared" si="21"/>
        <v>5304</v>
      </c>
      <c r="AJ16" s="40">
        <f t="shared" si="21"/>
        <v>5304</v>
      </c>
      <c r="AK16" s="40">
        <f t="shared" si="21"/>
        <v>5516.16</v>
      </c>
      <c r="AL16" s="40">
        <f t="shared" si="21"/>
        <v>5516.16</v>
      </c>
      <c r="AM16" s="40">
        <f t="shared" si="21"/>
        <v>5516.16</v>
      </c>
      <c r="AN16" s="40">
        <f t="shared" si="21"/>
        <v>0</v>
      </c>
      <c r="AO16" s="40">
        <f t="shared" si="21"/>
        <v>0</v>
      </c>
      <c r="AP16" s="40">
        <f t="shared" si="21"/>
        <v>0</v>
      </c>
      <c r="AQ16" s="40">
        <f t="shared" si="21"/>
        <v>0</v>
      </c>
      <c r="AR16" s="40">
        <f t="shared" si="21"/>
        <v>8268.0000000000018</v>
      </c>
      <c r="AS16" s="40">
        <f t="shared" si="22"/>
        <v>8268.0000000000018</v>
      </c>
      <c r="AT16" s="40">
        <f t="shared" si="22"/>
        <v>8268.0000000000018</v>
      </c>
      <c r="AU16" s="40">
        <f t="shared" si="22"/>
        <v>8268.0000000000018</v>
      </c>
      <c r="AV16" s="40">
        <f t="shared" si="22"/>
        <v>8268.0000000000018</v>
      </c>
      <c r="AW16" s="40">
        <f t="shared" si="22"/>
        <v>8268.0000000000018</v>
      </c>
      <c r="AX16" s="40">
        <f t="shared" si="22"/>
        <v>8268.0000000000018</v>
      </c>
      <c r="AY16" s="40">
        <f t="shared" si="22"/>
        <v>8268.0000000000018</v>
      </c>
      <c r="AZ16" s="40">
        <f t="shared" si="22"/>
        <v>8268.0000000000018</v>
      </c>
      <c r="BA16" s="40">
        <f t="shared" si="22"/>
        <v>8268.0000000000018</v>
      </c>
      <c r="BB16" s="40">
        <f t="shared" si="22"/>
        <v>8268.0000000000018</v>
      </c>
      <c r="BC16" s="40">
        <f t="shared" si="23"/>
        <v>8598.7200000000012</v>
      </c>
      <c r="BD16" s="40">
        <f t="shared" si="23"/>
        <v>8598.7200000000012</v>
      </c>
      <c r="BE16" s="40">
        <f t="shared" si="23"/>
        <v>8598.7200000000012</v>
      </c>
      <c r="BF16" s="40">
        <f t="shared" si="23"/>
        <v>8598.7200000000012</v>
      </c>
      <c r="BG16" s="40">
        <f t="shared" si="23"/>
        <v>8598.7200000000012</v>
      </c>
      <c r="BH16" s="40">
        <f t="shared" si="23"/>
        <v>8598.7200000000012</v>
      </c>
      <c r="BI16" s="40">
        <f t="shared" si="23"/>
        <v>8598.7200000000012</v>
      </c>
      <c r="BJ16" s="40">
        <f t="shared" si="23"/>
        <v>8598.7200000000012</v>
      </c>
      <c r="BK16" s="40">
        <f t="shared" si="23"/>
        <v>8598.7200000000012</v>
      </c>
      <c r="BL16" s="40">
        <f t="shared" si="23"/>
        <v>8598.7200000000012</v>
      </c>
      <c r="BM16" s="40">
        <f t="shared" si="24"/>
        <v>8598.7200000000012</v>
      </c>
      <c r="BN16" s="40">
        <f t="shared" si="24"/>
        <v>8598.7200000000012</v>
      </c>
      <c r="BO16" s="40">
        <f t="shared" si="24"/>
        <v>8942.6688000000013</v>
      </c>
      <c r="BP16" s="40">
        <f t="shared" si="24"/>
        <v>8942.6688000000013</v>
      </c>
      <c r="BQ16" s="40">
        <f t="shared" si="24"/>
        <v>8942.6688000000013</v>
      </c>
      <c r="BR16" s="40">
        <f t="shared" si="24"/>
        <v>8942.6688000000013</v>
      </c>
      <c r="BS16" s="40">
        <f t="shared" si="24"/>
        <v>8942.6688000000013</v>
      </c>
      <c r="BT16" s="40">
        <f t="shared" si="24"/>
        <v>8942.6688000000013</v>
      </c>
      <c r="BU16" s="40">
        <f t="shared" si="24"/>
        <v>8942.6688000000013</v>
      </c>
      <c r="BV16" s="40">
        <f t="shared" si="24"/>
        <v>8942.6688000000013</v>
      </c>
      <c r="BW16" s="40">
        <f t="shared" si="25"/>
        <v>8942.6688000000013</v>
      </c>
      <c r="BX16" s="40">
        <f t="shared" si="25"/>
        <v>8942.6688000000013</v>
      </c>
      <c r="BY16" s="40">
        <f t="shared" si="25"/>
        <v>8942.6688000000013</v>
      </c>
      <c r="BZ16" s="40">
        <f t="shared" si="25"/>
        <v>8942.6688000000013</v>
      </c>
      <c r="CA16" s="40">
        <f t="shared" si="25"/>
        <v>9300.3755520000032</v>
      </c>
      <c r="CB16" s="40">
        <f t="shared" si="25"/>
        <v>9300.3755520000032</v>
      </c>
      <c r="CC16" s="40">
        <f t="shared" si="25"/>
        <v>9300.3755520000032</v>
      </c>
      <c r="CD16" s="40">
        <f t="shared" si="25"/>
        <v>9300.3755520000032</v>
      </c>
      <c r="CE16" s="40">
        <f t="shared" si="25"/>
        <v>9300.3755520000032</v>
      </c>
      <c r="CF16" s="40">
        <f t="shared" si="25"/>
        <v>9300.3755520000032</v>
      </c>
      <c r="CG16" s="40">
        <f t="shared" si="26"/>
        <v>9300.3755520000032</v>
      </c>
      <c r="CH16" s="40">
        <f t="shared" si="26"/>
        <v>9300.3755520000032</v>
      </c>
      <c r="CI16" s="40">
        <f t="shared" si="26"/>
        <v>9300.3755520000032</v>
      </c>
      <c r="CJ16" s="40">
        <f t="shared" si="26"/>
        <v>9300.3755520000032</v>
      </c>
      <c r="CK16" s="40">
        <f t="shared" si="26"/>
        <v>9300.3755520000032</v>
      </c>
      <c r="CL16" s="40">
        <f t="shared" si="26"/>
        <v>9300.3755520000032</v>
      </c>
      <c r="CM16" s="40">
        <f t="shared" si="26"/>
        <v>9672.3905740800037</v>
      </c>
      <c r="CN16" s="40">
        <f t="shared" si="26"/>
        <v>9672.3905740800037</v>
      </c>
      <c r="CO16" s="40">
        <f t="shared" si="26"/>
        <v>9672.3905740800037</v>
      </c>
      <c r="CP16" s="40">
        <f t="shared" si="26"/>
        <v>9672.3905740800037</v>
      </c>
      <c r="CQ16" s="40">
        <f t="shared" si="27"/>
        <v>9672.3905740800037</v>
      </c>
      <c r="CR16" s="40">
        <f t="shared" si="27"/>
        <v>9672.3905740800037</v>
      </c>
      <c r="CS16" s="40">
        <f t="shared" si="27"/>
        <v>9672.3905740800037</v>
      </c>
      <c r="CT16" s="40">
        <f t="shared" si="27"/>
        <v>9672.3905740800037</v>
      </c>
      <c r="CU16" s="40">
        <f t="shared" si="27"/>
        <v>9672.3905740800037</v>
      </c>
      <c r="CV16" s="40">
        <f t="shared" si="27"/>
        <v>9672.3905740800037</v>
      </c>
      <c r="CW16" s="40">
        <f t="shared" si="27"/>
        <v>9672.3905740800037</v>
      </c>
      <c r="CX16" s="40">
        <f t="shared" si="27"/>
        <v>9672.3905740800037</v>
      </c>
      <c r="CY16" s="40">
        <f t="shared" si="27"/>
        <v>10059.286197043204</v>
      </c>
      <c r="CZ16" s="40">
        <f t="shared" si="27"/>
        <v>10059.286197043204</v>
      </c>
      <c r="DA16" s="40">
        <f t="shared" si="28"/>
        <v>10059.286197043204</v>
      </c>
      <c r="DB16" s="40">
        <f t="shared" si="28"/>
        <v>10059.286197043204</v>
      </c>
      <c r="DC16" s="40">
        <f t="shared" si="28"/>
        <v>10059.286197043204</v>
      </c>
      <c r="DD16" s="40">
        <f t="shared" si="28"/>
        <v>10059.286197043204</v>
      </c>
      <c r="DE16" s="40">
        <f t="shared" si="28"/>
        <v>10059.286197043204</v>
      </c>
      <c r="DF16" s="40">
        <f t="shared" si="28"/>
        <v>10059.286197043204</v>
      </c>
      <c r="DG16" s="40">
        <f t="shared" si="28"/>
        <v>10059.286197043204</v>
      </c>
      <c r="DH16" s="40">
        <f t="shared" si="28"/>
        <v>10059.286197043204</v>
      </c>
      <c r="DI16" s="40">
        <f t="shared" si="28"/>
        <v>10059.286197043204</v>
      </c>
      <c r="DJ16" s="40">
        <f t="shared" si="28"/>
        <v>10059.286197043204</v>
      </c>
      <c r="DK16" s="40">
        <f t="shared" si="29"/>
        <v>10461.657644924931</v>
      </c>
      <c r="DL16" s="40">
        <f t="shared" si="29"/>
        <v>10461.657644924931</v>
      </c>
      <c r="DM16" s="40">
        <f t="shared" si="29"/>
        <v>10461.657644924931</v>
      </c>
      <c r="DN16" s="40">
        <f t="shared" si="29"/>
        <v>10461.657644924931</v>
      </c>
      <c r="DO16" s="40">
        <f t="shared" si="29"/>
        <v>10461.657644924931</v>
      </c>
      <c r="DP16" s="40">
        <f t="shared" si="29"/>
        <v>10461.657644924931</v>
      </c>
      <c r="DQ16" s="40">
        <f t="shared" si="29"/>
        <v>10461.657644924931</v>
      </c>
      <c r="DR16" s="40">
        <f t="shared" si="29"/>
        <v>10461.657644924931</v>
      </c>
      <c r="DS16" s="40">
        <f t="shared" si="29"/>
        <v>10461.657644924931</v>
      </c>
      <c r="DT16" s="40">
        <f t="shared" si="29"/>
        <v>10461.657644924931</v>
      </c>
      <c r="DU16" s="40">
        <f t="shared" si="30"/>
        <v>10461.657644924931</v>
      </c>
      <c r="DV16" s="40">
        <f t="shared" si="30"/>
        <v>10461.657644924931</v>
      </c>
      <c r="DW16" s="40">
        <f t="shared" si="30"/>
        <v>10880.123950721929</v>
      </c>
      <c r="DX16" s="40">
        <f t="shared" si="30"/>
        <v>10880.123950721929</v>
      </c>
      <c r="DY16" s="40">
        <f t="shared" si="30"/>
        <v>10880.123950721929</v>
      </c>
      <c r="DZ16" s="40">
        <f t="shared" si="30"/>
        <v>10880.123950721929</v>
      </c>
      <c r="EA16" s="40">
        <f t="shared" si="30"/>
        <v>10880.123950721929</v>
      </c>
      <c r="EB16" s="40">
        <f t="shared" si="30"/>
        <v>10880.123950721929</v>
      </c>
      <c r="EC16" s="40">
        <f t="shared" si="30"/>
        <v>10880.123950721929</v>
      </c>
      <c r="ED16" s="40">
        <f t="shared" si="30"/>
        <v>10880.123950721929</v>
      </c>
      <c r="EE16" s="40">
        <f t="shared" si="31"/>
        <v>10880.123950721929</v>
      </c>
      <c r="EF16" s="40">
        <f t="shared" si="31"/>
        <v>10880.123950721929</v>
      </c>
      <c r="EG16" s="40">
        <f t="shared" si="31"/>
        <v>10880.123950721929</v>
      </c>
      <c r="EH16" s="40">
        <f t="shared" si="31"/>
        <v>10880.123950721929</v>
      </c>
      <c r="EI16" s="40">
        <f t="shared" si="31"/>
        <v>11315.328908750807</v>
      </c>
      <c r="EJ16" s="40">
        <f t="shared" si="31"/>
        <v>11315.328908750807</v>
      </c>
      <c r="EK16" s="40">
        <f t="shared" si="31"/>
        <v>11315.328908750807</v>
      </c>
      <c r="EL16" s="40">
        <f t="shared" si="31"/>
        <v>11315.328908750807</v>
      </c>
      <c r="EM16" s="40">
        <f t="shared" si="31"/>
        <v>11315.328908750807</v>
      </c>
      <c r="EN16" s="40">
        <f t="shared" si="31"/>
        <v>11315.328908750807</v>
      </c>
    </row>
    <row r="17" spans="2:144" x14ac:dyDescent="0.35">
      <c r="B17" s="37" t="s">
        <v>281</v>
      </c>
      <c r="C17" s="19" t="s">
        <v>282</v>
      </c>
      <c r="D17" s="20">
        <v>10800</v>
      </c>
      <c r="E17" s="18">
        <f t="shared" si="8"/>
        <v>8.9050131926121379E-3</v>
      </c>
      <c r="F17" s="38">
        <v>41671</v>
      </c>
      <c r="G17" s="38">
        <v>46296</v>
      </c>
      <c r="H17" s="32">
        <v>8.75</v>
      </c>
      <c r="I17" s="28">
        <f t="shared" si="9"/>
        <v>94500</v>
      </c>
      <c r="J17" s="26">
        <v>0.04</v>
      </c>
      <c r="K17" s="37" t="s">
        <v>266</v>
      </c>
      <c r="L17" s="32">
        <v>13</v>
      </c>
      <c r="M17" s="37" t="s">
        <v>267</v>
      </c>
      <c r="N17" s="39">
        <f t="shared" si="10"/>
        <v>-118</v>
      </c>
      <c r="O17" s="39">
        <f t="shared" si="11"/>
        <v>34</v>
      </c>
      <c r="P17" s="39">
        <f t="shared" si="12"/>
        <v>35</v>
      </c>
      <c r="Q17" s="39">
        <f t="shared" si="13"/>
        <v>3</v>
      </c>
      <c r="R17" s="39">
        <f t="shared" si="14"/>
        <v>38</v>
      </c>
      <c r="S17" s="39">
        <f t="shared" si="15"/>
        <v>1</v>
      </c>
      <c r="T17" s="39">
        <f t="shared" si="16"/>
        <v>39</v>
      </c>
      <c r="U17" s="39">
        <f t="shared" si="17"/>
        <v>4</v>
      </c>
      <c r="V17" s="39">
        <f t="shared" si="18"/>
        <v>25650</v>
      </c>
      <c r="W17" s="39">
        <f>IF(D17="",0,Retention_Ratio*LC_Ren*LeaseTermYrs*'Rent Roll'!D17*'Rent Roll'!X17+(1-Retention_Ratio)*LC_Ren*LeaseTermYrs*'Rent Roll'!D17*'Rent Roll'!X17)</f>
        <v>24377.929289999996</v>
      </c>
      <c r="X17" s="25">
        <f t="shared" si="19"/>
        <v>15.048104499999999</v>
      </c>
      <c r="Y17" s="40">
        <f t="shared" si="20"/>
        <v>7875</v>
      </c>
      <c r="Z17" s="40">
        <f t="shared" si="20"/>
        <v>7875</v>
      </c>
      <c r="AA17" s="40">
        <f t="shared" si="20"/>
        <v>7875</v>
      </c>
      <c r="AB17" s="40">
        <f t="shared" si="20"/>
        <v>7875</v>
      </c>
      <c r="AC17" s="40">
        <f t="shared" si="20"/>
        <v>7875</v>
      </c>
      <c r="AD17" s="40">
        <f t="shared" si="20"/>
        <v>7875</v>
      </c>
      <c r="AE17" s="40">
        <f t="shared" si="20"/>
        <v>7875</v>
      </c>
      <c r="AF17" s="40">
        <f t="shared" si="20"/>
        <v>7875</v>
      </c>
      <c r="AG17" s="40">
        <f t="shared" si="20"/>
        <v>7875</v>
      </c>
      <c r="AH17" s="40">
        <f t="shared" si="20"/>
        <v>7875</v>
      </c>
      <c r="AI17" s="40">
        <f t="shared" si="21"/>
        <v>7875</v>
      </c>
      <c r="AJ17" s="40">
        <f t="shared" si="21"/>
        <v>7875</v>
      </c>
      <c r="AK17" s="40">
        <f t="shared" si="21"/>
        <v>8190</v>
      </c>
      <c r="AL17" s="40">
        <f t="shared" si="21"/>
        <v>8190</v>
      </c>
      <c r="AM17" s="40">
        <f t="shared" si="21"/>
        <v>8190</v>
      </c>
      <c r="AN17" s="40">
        <f t="shared" si="21"/>
        <v>8190</v>
      </c>
      <c r="AO17" s="40">
        <f t="shared" si="21"/>
        <v>8190</v>
      </c>
      <c r="AP17" s="40">
        <f t="shared" si="21"/>
        <v>8190</v>
      </c>
      <c r="AQ17" s="40">
        <f t="shared" si="21"/>
        <v>8190</v>
      </c>
      <c r="AR17" s="40">
        <f t="shared" si="21"/>
        <v>8190</v>
      </c>
      <c r="AS17" s="40">
        <f t="shared" si="22"/>
        <v>8190</v>
      </c>
      <c r="AT17" s="40">
        <f t="shared" si="22"/>
        <v>8190</v>
      </c>
      <c r="AU17" s="40">
        <f t="shared" si="22"/>
        <v>8190</v>
      </c>
      <c r="AV17" s="40">
        <f t="shared" si="22"/>
        <v>8190</v>
      </c>
      <c r="AW17" s="40">
        <f t="shared" si="22"/>
        <v>8517.6</v>
      </c>
      <c r="AX17" s="40">
        <f t="shared" si="22"/>
        <v>8517.6</v>
      </c>
      <c r="AY17" s="40">
        <f t="shared" si="22"/>
        <v>8517.6</v>
      </c>
      <c r="AZ17" s="40">
        <f t="shared" si="22"/>
        <v>8517.6</v>
      </c>
      <c r="BA17" s="40">
        <f t="shared" si="22"/>
        <v>8517.6</v>
      </c>
      <c r="BB17" s="40">
        <f t="shared" si="22"/>
        <v>8517.6</v>
      </c>
      <c r="BC17" s="40">
        <f t="shared" si="23"/>
        <v>8517.6</v>
      </c>
      <c r="BD17" s="40">
        <f t="shared" si="23"/>
        <v>8517.6</v>
      </c>
      <c r="BE17" s="40">
        <f t="shared" si="23"/>
        <v>8517.6</v>
      </c>
      <c r="BF17" s="40">
        <f t="shared" si="23"/>
        <v>8517.6</v>
      </c>
      <c r="BG17" s="40">
        <f t="shared" si="23"/>
        <v>0</v>
      </c>
      <c r="BH17" s="40">
        <f t="shared" si="23"/>
        <v>0</v>
      </c>
      <c r="BI17" s="40">
        <f t="shared" si="23"/>
        <v>0</v>
      </c>
      <c r="BJ17" s="40">
        <f t="shared" si="23"/>
        <v>0</v>
      </c>
      <c r="BK17" s="40">
        <f t="shared" si="23"/>
        <v>13543.294049999999</v>
      </c>
      <c r="BL17" s="40">
        <f t="shared" si="23"/>
        <v>13543.294049999999</v>
      </c>
      <c r="BM17" s="40">
        <f t="shared" si="24"/>
        <v>13543.294049999999</v>
      </c>
      <c r="BN17" s="40">
        <f t="shared" si="24"/>
        <v>13543.294049999999</v>
      </c>
      <c r="BO17" s="40">
        <f t="shared" si="24"/>
        <v>13543.294049999999</v>
      </c>
      <c r="BP17" s="40">
        <f t="shared" si="24"/>
        <v>13543.294049999999</v>
      </c>
      <c r="BQ17" s="40">
        <f t="shared" si="24"/>
        <v>13543.294049999999</v>
      </c>
      <c r="BR17" s="40">
        <f t="shared" si="24"/>
        <v>13543.294049999999</v>
      </c>
      <c r="BS17" s="40">
        <f t="shared" si="24"/>
        <v>13543.294049999999</v>
      </c>
      <c r="BT17" s="40">
        <f t="shared" si="24"/>
        <v>13543.294049999999</v>
      </c>
      <c r="BU17" s="40">
        <f t="shared" si="24"/>
        <v>13543.294049999999</v>
      </c>
      <c r="BV17" s="40">
        <f t="shared" si="24"/>
        <v>14085.025812</v>
      </c>
      <c r="BW17" s="40">
        <f t="shared" si="25"/>
        <v>14085.025812</v>
      </c>
      <c r="BX17" s="40">
        <f t="shared" si="25"/>
        <v>14085.025812</v>
      </c>
      <c r="BY17" s="40">
        <f t="shared" si="25"/>
        <v>14085.025812</v>
      </c>
      <c r="BZ17" s="40">
        <f t="shared" si="25"/>
        <v>14085.025812</v>
      </c>
      <c r="CA17" s="40">
        <f t="shared" si="25"/>
        <v>14085.025812</v>
      </c>
      <c r="CB17" s="40">
        <f t="shared" si="25"/>
        <v>14085.025812</v>
      </c>
      <c r="CC17" s="40">
        <f t="shared" si="25"/>
        <v>14085.025812</v>
      </c>
      <c r="CD17" s="40">
        <f t="shared" si="25"/>
        <v>14085.025812</v>
      </c>
      <c r="CE17" s="40">
        <f t="shared" si="25"/>
        <v>14085.025812</v>
      </c>
      <c r="CF17" s="40">
        <f t="shared" si="25"/>
        <v>14085.025812</v>
      </c>
      <c r="CG17" s="40">
        <f t="shared" si="26"/>
        <v>14085.025812</v>
      </c>
      <c r="CH17" s="40">
        <f t="shared" si="26"/>
        <v>14648.426844480002</v>
      </c>
      <c r="CI17" s="40">
        <f t="shared" si="26"/>
        <v>14648.426844480002</v>
      </c>
      <c r="CJ17" s="40">
        <f t="shared" si="26"/>
        <v>14648.426844480002</v>
      </c>
      <c r="CK17" s="40">
        <f t="shared" si="26"/>
        <v>14648.426844480002</v>
      </c>
      <c r="CL17" s="40">
        <f t="shared" si="26"/>
        <v>14648.426844480002</v>
      </c>
      <c r="CM17" s="40">
        <f t="shared" si="26"/>
        <v>14648.426844480002</v>
      </c>
      <c r="CN17" s="40">
        <f t="shared" si="26"/>
        <v>14648.426844480002</v>
      </c>
      <c r="CO17" s="40">
        <f t="shared" si="26"/>
        <v>14648.426844480002</v>
      </c>
      <c r="CP17" s="40">
        <f t="shared" si="26"/>
        <v>14648.426844480002</v>
      </c>
      <c r="CQ17" s="40">
        <f t="shared" si="27"/>
        <v>14648.426844480002</v>
      </c>
      <c r="CR17" s="40">
        <f t="shared" si="27"/>
        <v>14648.426844480002</v>
      </c>
      <c r="CS17" s="40">
        <f t="shared" si="27"/>
        <v>14648.426844480002</v>
      </c>
      <c r="CT17" s="40">
        <f t="shared" si="27"/>
        <v>15234.363918259201</v>
      </c>
      <c r="CU17" s="40">
        <f t="shared" si="27"/>
        <v>15234.363918259201</v>
      </c>
      <c r="CV17" s="40">
        <f t="shared" si="27"/>
        <v>15234.363918259201</v>
      </c>
      <c r="CW17" s="40">
        <f t="shared" si="27"/>
        <v>15234.363918259201</v>
      </c>
      <c r="CX17" s="40">
        <f t="shared" si="27"/>
        <v>15234.363918259201</v>
      </c>
      <c r="CY17" s="40">
        <f t="shared" si="27"/>
        <v>15234.363918259201</v>
      </c>
      <c r="CZ17" s="40">
        <f t="shared" si="27"/>
        <v>15234.363918259201</v>
      </c>
      <c r="DA17" s="40">
        <f t="shared" si="28"/>
        <v>15234.363918259201</v>
      </c>
      <c r="DB17" s="40">
        <f t="shared" si="28"/>
        <v>15234.363918259201</v>
      </c>
      <c r="DC17" s="40">
        <f t="shared" si="28"/>
        <v>15234.363918259201</v>
      </c>
      <c r="DD17" s="40">
        <f t="shared" si="28"/>
        <v>15234.363918259201</v>
      </c>
      <c r="DE17" s="40">
        <f t="shared" si="28"/>
        <v>15234.363918259201</v>
      </c>
      <c r="DF17" s="40">
        <f t="shared" si="28"/>
        <v>15843.73847498957</v>
      </c>
      <c r="DG17" s="40">
        <f t="shared" si="28"/>
        <v>15843.73847498957</v>
      </c>
      <c r="DH17" s="40">
        <f t="shared" si="28"/>
        <v>15843.73847498957</v>
      </c>
      <c r="DI17" s="40">
        <f t="shared" si="28"/>
        <v>15843.73847498957</v>
      </c>
      <c r="DJ17" s="40">
        <f t="shared" si="28"/>
        <v>15843.73847498957</v>
      </c>
      <c r="DK17" s="40">
        <f t="shared" si="29"/>
        <v>15843.73847498957</v>
      </c>
      <c r="DL17" s="40">
        <f t="shared" si="29"/>
        <v>15843.73847498957</v>
      </c>
      <c r="DM17" s="40">
        <f t="shared" si="29"/>
        <v>15843.73847498957</v>
      </c>
      <c r="DN17" s="40">
        <f t="shared" si="29"/>
        <v>15843.73847498957</v>
      </c>
      <c r="DO17" s="40">
        <f t="shared" si="29"/>
        <v>15843.73847498957</v>
      </c>
      <c r="DP17" s="40">
        <f t="shared" si="29"/>
        <v>15843.73847498957</v>
      </c>
      <c r="DQ17" s="40">
        <f t="shared" si="29"/>
        <v>15843.73847498957</v>
      </c>
      <c r="DR17" s="40">
        <f t="shared" si="29"/>
        <v>16477.488013989154</v>
      </c>
      <c r="DS17" s="40">
        <f t="shared" si="29"/>
        <v>16477.488013989154</v>
      </c>
      <c r="DT17" s="40">
        <f t="shared" si="29"/>
        <v>16477.488013989154</v>
      </c>
      <c r="DU17" s="40">
        <f t="shared" si="30"/>
        <v>16477.488013989154</v>
      </c>
      <c r="DV17" s="40">
        <f t="shared" si="30"/>
        <v>16477.488013989154</v>
      </c>
      <c r="DW17" s="40">
        <f t="shared" si="30"/>
        <v>16477.488013989154</v>
      </c>
      <c r="DX17" s="40">
        <f t="shared" si="30"/>
        <v>16477.488013989154</v>
      </c>
      <c r="DY17" s="40">
        <f t="shared" si="30"/>
        <v>16477.488013989154</v>
      </c>
      <c r="DZ17" s="40">
        <f t="shared" si="30"/>
        <v>16477.488013989154</v>
      </c>
      <c r="EA17" s="40">
        <f t="shared" si="30"/>
        <v>16477.488013989154</v>
      </c>
      <c r="EB17" s="40">
        <f t="shared" si="30"/>
        <v>16477.488013989154</v>
      </c>
      <c r="EC17" s="40">
        <f t="shared" si="30"/>
        <v>16477.488013989154</v>
      </c>
      <c r="ED17" s="40">
        <f t="shared" si="30"/>
        <v>17136.587534548718</v>
      </c>
      <c r="EE17" s="40">
        <f t="shared" si="31"/>
        <v>17136.587534548718</v>
      </c>
      <c r="EF17" s="40">
        <f t="shared" si="31"/>
        <v>17136.587534548718</v>
      </c>
      <c r="EG17" s="40">
        <f t="shared" si="31"/>
        <v>17136.587534548718</v>
      </c>
      <c r="EH17" s="40">
        <f t="shared" si="31"/>
        <v>17136.587534548718</v>
      </c>
      <c r="EI17" s="40">
        <f t="shared" si="31"/>
        <v>17136.587534548718</v>
      </c>
      <c r="EJ17" s="40">
        <f t="shared" si="31"/>
        <v>17136.587534548718</v>
      </c>
      <c r="EK17" s="40">
        <f t="shared" si="31"/>
        <v>17136.587534548718</v>
      </c>
      <c r="EL17" s="40">
        <f t="shared" si="31"/>
        <v>17136.587534548718</v>
      </c>
      <c r="EM17" s="40">
        <f t="shared" si="31"/>
        <v>17136.587534548718</v>
      </c>
      <c r="EN17" s="40">
        <f t="shared" si="31"/>
        <v>17136.587534548718</v>
      </c>
    </row>
    <row r="18" spans="2:144" x14ac:dyDescent="0.35">
      <c r="B18" s="37" t="s">
        <v>283</v>
      </c>
      <c r="C18" s="19" t="s">
        <v>284</v>
      </c>
      <c r="D18" s="20">
        <v>10800</v>
      </c>
      <c r="E18" s="18">
        <f t="shared" si="8"/>
        <v>8.9050131926121379E-3</v>
      </c>
      <c r="F18" s="38">
        <v>37681</v>
      </c>
      <c r="G18" s="38">
        <v>45597</v>
      </c>
      <c r="H18" s="32">
        <v>8.1999999999999993</v>
      </c>
      <c r="I18" s="28">
        <f t="shared" si="9"/>
        <v>88559.999999999985</v>
      </c>
      <c r="J18" s="26">
        <v>0.03</v>
      </c>
      <c r="K18" s="37" t="s">
        <v>266</v>
      </c>
      <c r="L18" s="32">
        <v>13</v>
      </c>
      <c r="M18" s="37" t="s">
        <v>267</v>
      </c>
      <c r="N18" s="39">
        <f t="shared" si="10"/>
        <v>-249</v>
      </c>
      <c r="O18" s="39">
        <f t="shared" si="11"/>
        <v>11</v>
      </c>
      <c r="P18" s="39">
        <f t="shared" si="12"/>
        <v>12</v>
      </c>
      <c r="Q18" s="39">
        <f t="shared" si="13"/>
        <v>3</v>
      </c>
      <c r="R18" s="39">
        <f t="shared" si="14"/>
        <v>15</v>
      </c>
      <c r="S18" s="39">
        <f t="shared" si="15"/>
        <v>1</v>
      </c>
      <c r="T18" s="39">
        <f t="shared" si="16"/>
        <v>16</v>
      </c>
      <c r="U18" s="39">
        <f t="shared" si="17"/>
        <v>2</v>
      </c>
      <c r="V18" s="39">
        <f t="shared" si="18"/>
        <v>25650</v>
      </c>
      <c r="W18" s="39">
        <f>IF(D18="",0,Retention_Ratio*LC_Ren*LeaseTermYrs*'Rent Roll'!D18*'Rent Roll'!X18+(1-Retention_Ratio)*LC_Ren*LeaseTermYrs*'Rent Roll'!D18*'Rent Roll'!X18)</f>
        <v>22323.599999999999</v>
      </c>
      <c r="X18" s="25">
        <f t="shared" si="19"/>
        <v>13.780000000000001</v>
      </c>
      <c r="Y18" s="40">
        <f t="shared" si="20"/>
        <v>7379.9999999999991</v>
      </c>
      <c r="Z18" s="40">
        <f t="shared" si="20"/>
        <v>7379.9999999999991</v>
      </c>
      <c r="AA18" s="40">
        <f t="shared" si="20"/>
        <v>7379.9999999999991</v>
      </c>
      <c r="AB18" s="40">
        <f t="shared" si="20"/>
        <v>7379.9999999999991</v>
      </c>
      <c r="AC18" s="40">
        <f t="shared" si="20"/>
        <v>7379.9999999999991</v>
      </c>
      <c r="AD18" s="40">
        <f t="shared" si="20"/>
        <v>7379.9999999999991</v>
      </c>
      <c r="AE18" s="40">
        <f t="shared" si="20"/>
        <v>7379.9999999999991</v>
      </c>
      <c r="AF18" s="40">
        <f t="shared" si="20"/>
        <v>7379.9999999999991</v>
      </c>
      <c r="AG18" s="40">
        <f t="shared" si="20"/>
        <v>7379.9999999999991</v>
      </c>
      <c r="AH18" s="40">
        <f t="shared" si="20"/>
        <v>7379.9999999999991</v>
      </c>
      <c r="AI18" s="40">
        <f t="shared" si="21"/>
        <v>7379.9999999999991</v>
      </c>
      <c r="AJ18" s="40">
        <f t="shared" si="21"/>
        <v>0</v>
      </c>
      <c r="AK18" s="40">
        <f t="shared" si="21"/>
        <v>0</v>
      </c>
      <c r="AL18" s="40">
        <f t="shared" si="21"/>
        <v>0</v>
      </c>
      <c r="AM18" s="40">
        <f t="shared" si="21"/>
        <v>0</v>
      </c>
      <c r="AN18" s="40">
        <f t="shared" si="21"/>
        <v>12402</v>
      </c>
      <c r="AO18" s="40">
        <f t="shared" si="21"/>
        <v>12402</v>
      </c>
      <c r="AP18" s="40">
        <f t="shared" si="21"/>
        <v>12402</v>
      </c>
      <c r="AQ18" s="40">
        <f t="shared" si="21"/>
        <v>12402</v>
      </c>
      <c r="AR18" s="40">
        <f t="shared" si="21"/>
        <v>12402</v>
      </c>
      <c r="AS18" s="40">
        <f t="shared" si="22"/>
        <v>12402</v>
      </c>
      <c r="AT18" s="40">
        <f t="shared" si="22"/>
        <v>12402</v>
      </c>
      <c r="AU18" s="40">
        <f t="shared" si="22"/>
        <v>12402</v>
      </c>
      <c r="AV18" s="40">
        <f t="shared" si="22"/>
        <v>12402</v>
      </c>
      <c r="AW18" s="40">
        <f t="shared" si="22"/>
        <v>12402</v>
      </c>
      <c r="AX18" s="40">
        <f t="shared" si="22"/>
        <v>12402</v>
      </c>
      <c r="AY18" s="40">
        <f t="shared" si="22"/>
        <v>12774.06</v>
      </c>
      <c r="AZ18" s="40">
        <f t="shared" si="22"/>
        <v>12774.06</v>
      </c>
      <c r="BA18" s="40">
        <f t="shared" si="22"/>
        <v>12774.06</v>
      </c>
      <c r="BB18" s="40">
        <f t="shared" si="22"/>
        <v>12774.06</v>
      </c>
      <c r="BC18" s="40">
        <f t="shared" si="23"/>
        <v>12774.06</v>
      </c>
      <c r="BD18" s="40">
        <f t="shared" si="23"/>
        <v>12774.06</v>
      </c>
      <c r="BE18" s="40">
        <f t="shared" si="23"/>
        <v>12774.06</v>
      </c>
      <c r="BF18" s="40">
        <f t="shared" si="23"/>
        <v>12774.06</v>
      </c>
      <c r="BG18" s="40">
        <f t="shared" si="23"/>
        <v>12774.06</v>
      </c>
      <c r="BH18" s="40">
        <f t="shared" si="23"/>
        <v>12774.06</v>
      </c>
      <c r="BI18" s="40">
        <f t="shared" si="23"/>
        <v>12774.06</v>
      </c>
      <c r="BJ18" s="40">
        <f t="shared" si="23"/>
        <v>12774.06</v>
      </c>
      <c r="BK18" s="40">
        <f t="shared" si="23"/>
        <v>13157.281799999999</v>
      </c>
      <c r="BL18" s="40">
        <f t="shared" si="23"/>
        <v>13157.281799999999</v>
      </c>
      <c r="BM18" s="40">
        <f t="shared" si="24"/>
        <v>13157.281799999999</v>
      </c>
      <c r="BN18" s="40">
        <f t="shared" si="24"/>
        <v>13157.281799999999</v>
      </c>
      <c r="BO18" s="40">
        <f t="shared" si="24"/>
        <v>13157.281799999999</v>
      </c>
      <c r="BP18" s="40">
        <f t="shared" si="24"/>
        <v>13157.281799999999</v>
      </c>
      <c r="BQ18" s="40">
        <f t="shared" si="24"/>
        <v>13157.281799999999</v>
      </c>
      <c r="BR18" s="40">
        <f t="shared" si="24"/>
        <v>13157.281799999999</v>
      </c>
      <c r="BS18" s="40">
        <f t="shared" si="24"/>
        <v>13157.281799999999</v>
      </c>
      <c r="BT18" s="40">
        <f t="shared" si="24"/>
        <v>13157.281799999999</v>
      </c>
      <c r="BU18" s="40">
        <f t="shared" si="24"/>
        <v>13157.281799999999</v>
      </c>
      <c r="BV18" s="40">
        <f t="shared" si="24"/>
        <v>13157.281799999999</v>
      </c>
      <c r="BW18" s="40">
        <f t="shared" si="25"/>
        <v>13552.000254</v>
      </c>
      <c r="BX18" s="40">
        <f t="shared" si="25"/>
        <v>13552.000254</v>
      </c>
      <c r="BY18" s="40">
        <f t="shared" si="25"/>
        <v>13552.000254</v>
      </c>
      <c r="BZ18" s="40">
        <f t="shared" si="25"/>
        <v>13552.000254</v>
      </c>
      <c r="CA18" s="40">
        <f t="shared" si="25"/>
        <v>13552.000254</v>
      </c>
      <c r="CB18" s="40">
        <f t="shared" si="25"/>
        <v>13552.000254</v>
      </c>
      <c r="CC18" s="40">
        <f t="shared" si="25"/>
        <v>13552.000254</v>
      </c>
      <c r="CD18" s="40">
        <f t="shared" si="25"/>
        <v>13552.000254</v>
      </c>
      <c r="CE18" s="40">
        <f t="shared" si="25"/>
        <v>13552.000254</v>
      </c>
      <c r="CF18" s="40">
        <f t="shared" si="25"/>
        <v>13552.000254</v>
      </c>
      <c r="CG18" s="40">
        <f t="shared" si="26"/>
        <v>13552.000254</v>
      </c>
      <c r="CH18" s="40">
        <f t="shared" si="26"/>
        <v>13552.000254</v>
      </c>
      <c r="CI18" s="40">
        <f t="shared" si="26"/>
        <v>13958.560261619999</v>
      </c>
      <c r="CJ18" s="40">
        <f t="shared" si="26"/>
        <v>13958.560261619999</v>
      </c>
      <c r="CK18" s="40">
        <f t="shared" si="26"/>
        <v>13958.560261619999</v>
      </c>
      <c r="CL18" s="40">
        <f t="shared" si="26"/>
        <v>13958.560261619999</v>
      </c>
      <c r="CM18" s="40">
        <f t="shared" si="26"/>
        <v>13958.560261619999</v>
      </c>
      <c r="CN18" s="40">
        <f t="shared" si="26"/>
        <v>13958.560261619999</v>
      </c>
      <c r="CO18" s="40">
        <f t="shared" si="26"/>
        <v>13958.560261619999</v>
      </c>
      <c r="CP18" s="40">
        <f t="shared" si="26"/>
        <v>13958.560261619999</v>
      </c>
      <c r="CQ18" s="40">
        <f t="shared" si="27"/>
        <v>13958.560261619999</v>
      </c>
      <c r="CR18" s="40">
        <f t="shared" si="27"/>
        <v>13958.560261619999</v>
      </c>
      <c r="CS18" s="40">
        <f t="shared" si="27"/>
        <v>13958.560261619999</v>
      </c>
      <c r="CT18" s="40">
        <f t="shared" si="27"/>
        <v>13958.560261619999</v>
      </c>
      <c r="CU18" s="40">
        <f t="shared" si="27"/>
        <v>14377.317069468598</v>
      </c>
      <c r="CV18" s="40">
        <f t="shared" si="27"/>
        <v>14377.317069468598</v>
      </c>
      <c r="CW18" s="40">
        <f t="shared" si="27"/>
        <v>14377.317069468598</v>
      </c>
      <c r="CX18" s="40">
        <f t="shared" si="27"/>
        <v>14377.317069468598</v>
      </c>
      <c r="CY18" s="40">
        <f t="shared" si="27"/>
        <v>14377.317069468598</v>
      </c>
      <c r="CZ18" s="40">
        <f t="shared" si="27"/>
        <v>14377.317069468598</v>
      </c>
      <c r="DA18" s="40">
        <f t="shared" si="28"/>
        <v>14377.317069468598</v>
      </c>
      <c r="DB18" s="40">
        <f t="shared" si="28"/>
        <v>14377.317069468598</v>
      </c>
      <c r="DC18" s="40">
        <f t="shared" si="28"/>
        <v>14377.317069468598</v>
      </c>
      <c r="DD18" s="40">
        <f t="shared" si="28"/>
        <v>14377.317069468598</v>
      </c>
      <c r="DE18" s="40">
        <f t="shared" si="28"/>
        <v>14377.317069468598</v>
      </c>
      <c r="DF18" s="40">
        <f t="shared" si="28"/>
        <v>14377.317069468598</v>
      </c>
      <c r="DG18" s="40">
        <f t="shared" si="28"/>
        <v>14808.636581552657</v>
      </c>
      <c r="DH18" s="40">
        <f t="shared" si="28"/>
        <v>14808.636581552657</v>
      </c>
      <c r="DI18" s="40">
        <f t="shared" si="28"/>
        <v>14808.636581552657</v>
      </c>
      <c r="DJ18" s="40">
        <f t="shared" si="28"/>
        <v>14808.636581552657</v>
      </c>
      <c r="DK18" s="40">
        <f t="shared" si="29"/>
        <v>14808.636581552657</v>
      </c>
      <c r="DL18" s="40">
        <f t="shared" si="29"/>
        <v>14808.636581552657</v>
      </c>
      <c r="DM18" s="40">
        <f t="shared" si="29"/>
        <v>14808.636581552657</v>
      </c>
      <c r="DN18" s="40">
        <f t="shared" si="29"/>
        <v>14808.636581552657</v>
      </c>
      <c r="DO18" s="40">
        <f t="shared" si="29"/>
        <v>14808.636581552657</v>
      </c>
      <c r="DP18" s="40">
        <f t="shared" si="29"/>
        <v>14808.636581552657</v>
      </c>
      <c r="DQ18" s="40">
        <f t="shared" si="29"/>
        <v>14808.636581552657</v>
      </c>
      <c r="DR18" s="40">
        <f t="shared" si="29"/>
        <v>14808.636581552657</v>
      </c>
      <c r="DS18" s="40">
        <f t="shared" si="29"/>
        <v>15252.895678999237</v>
      </c>
      <c r="DT18" s="40">
        <f t="shared" si="29"/>
        <v>15252.895678999237</v>
      </c>
      <c r="DU18" s="40">
        <f t="shared" si="30"/>
        <v>15252.895678999237</v>
      </c>
      <c r="DV18" s="40">
        <f t="shared" si="30"/>
        <v>15252.895678999237</v>
      </c>
      <c r="DW18" s="40">
        <f t="shared" si="30"/>
        <v>15252.895678999237</v>
      </c>
      <c r="DX18" s="40">
        <f t="shared" si="30"/>
        <v>15252.895678999237</v>
      </c>
      <c r="DY18" s="40">
        <f t="shared" si="30"/>
        <v>15252.895678999237</v>
      </c>
      <c r="DZ18" s="40">
        <f t="shared" si="30"/>
        <v>15252.895678999237</v>
      </c>
      <c r="EA18" s="40">
        <f t="shared" si="30"/>
        <v>15252.895678999237</v>
      </c>
      <c r="EB18" s="40">
        <f t="shared" si="30"/>
        <v>15252.895678999237</v>
      </c>
      <c r="EC18" s="40">
        <f t="shared" si="30"/>
        <v>15252.895678999237</v>
      </c>
      <c r="ED18" s="40">
        <f t="shared" si="30"/>
        <v>15252.895678999237</v>
      </c>
      <c r="EE18" s="40">
        <f t="shared" si="31"/>
        <v>15710.482549369213</v>
      </c>
      <c r="EF18" s="40">
        <f t="shared" si="31"/>
        <v>15710.482549369213</v>
      </c>
      <c r="EG18" s="40">
        <f t="shared" si="31"/>
        <v>15710.482549369213</v>
      </c>
      <c r="EH18" s="40">
        <f t="shared" si="31"/>
        <v>15710.482549369213</v>
      </c>
      <c r="EI18" s="40">
        <f t="shared" si="31"/>
        <v>15710.482549369213</v>
      </c>
      <c r="EJ18" s="40">
        <f t="shared" si="31"/>
        <v>15710.482549369213</v>
      </c>
      <c r="EK18" s="40">
        <f t="shared" si="31"/>
        <v>15710.482549369213</v>
      </c>
      <c r="EL18" s="40">
        <f t="shared" si="31"/>
        <v>15710.482549369213</v>
      </c>
      <c r="EM18" s="40">
        <f t="shared" si="31"/>
        <v>15710.482549369213</v>
      </c>
      <c r="EN18" s="40">
        <f t="shared" si="31"/>
        <v>15710.482549369213</v>
      </c>
    </row>
    <row r="19" spans="2:144" x14ac:dyDescent="0.35">
      <c r="B19" s="37" t="s">
        <v>285</v>
      </c>
      <c r="C19" s="19" t="s">
        <v>286</v>
      </c>
      <c r="D19" s="20">
        <v>10800</v>
      </c>
      <c r="E19" s="18">
        <f t="shared" si="8"/>
        <v>8.9050131926121379E-3</v>
      </c>
      <c r="F19" s="38">
        <v>44287</v>
      </c>
      <c r="G19" s="38">
        <v>46113</v>
      </c>
      <c r="H19" s="32">
        <v>7.96</v>
      </c>
      <c r="I19" s="28">
        <f t="shared" si="9"/>
        <v>85968</v>
      </c>
      <c r="J19" s="26">
        <v>0.03</v>
      </c>
      <c r="K19" s="37" t="s">
        <v>266</v>
      </c>
      <c r="L19" s="32">
        <v>13</v>
      </c>
      <c r="M19" s="37" t="s">
        <v>267</v>
      </c>
      <c r="N19" s="39">
        <f t="shared" si="10"/>
        <v>-32</v>
      </c>
      <c r="O19" s="39">
        <f t="shared" si="11"/>
        <v>28</v>
      </c>
      <c r="P19" s="39">
        <f t="shared" si="12"/>
        <v>29</v>
      </c>
      <c r="Q19" s="39">
        <f t="shared" si="13"/>
        <v>3</v>
      </c>
      <c r="R19" s="39">
        <f t="shared" si="14"/>
        <v>32</v>
      </c>
      <c r="S19" s="39">
        <f t="shared" si="15"/>
        <v>1</v>
      </c>
      <c r="T19" s="39">
        <f t="shared" si="16"/>
        <v>33</v>
      </c>
      <c r="U19" s="39">
        <f t="shared" si="17"/>
        <v>3</v>
      </c>
      <c r="V19" s="39">
        <f t="shared" si="18"/>
        <v>25650</v>
      </c>
      <c r="W19" s="39">
        <f>IF(D19="",0,Retention_Ratio*LC_Ren*LeaseTermYrs*'Rent Roll'!D19*'Rent Roll'!X19+(1-Retention_Ratio)*LC_Ren*LeaseTermYrs*'Rent Roll'!D19*'Rent Roll'!X19)</f>
        <v>23328.161999999997</v>
      </c>
      <c r="X19" s="25">
        <f t="shared" si="19"/>
        <v>14.4001</v>
      </c>
      <c r="Y19" s="40">
        <f t="shared" si="20"/>
        <v>7164</v>
      </c>
      <c r="Z19" s="40">
        <f t="shared" si="20"/>
        <v>7164</v>
      </c>
      <c r="AA19" s="40">
        <f t="shared" si="20"/>
        <v>7164</v>
      </c>
      <c r="AB19" s="40">
        <f t="shared" si="20"/>
        <v>7164</v>
      </c>
      <c r="AC19" s="40">
        <f t="shared" si="20"/>
        <v>7164</v>
      </c>
      <c r="AD19" s="40">
        <f t="shared" si="20"/>
        <v>7164</v>
      </c>
      <c r="AE19" s="40">
        <f t="shared" si="20"/>
        <v>7164</v>
      </c>
      <c r="AF19" s="40">
        <f t="shared" si="20"/>
        <v>7164</v>
      </c>
      <c r="AG19" s="40">
        <f t="shared" si="20"/>
        <v>7164</v>
      </c>
      <c r="AH19" s="40">
        <f t="shared" si="20"/>
        <v>7164</v>
      </c>
      <c r="AI19" s="40">
        <f t="shared" si="21"/>
        <v>7164</v>
      </c>
      <c r="AJ19" s="40">
        <f t="shared" si="21"/>
        <v>7164</v>
      </c>
      <c r="AK19" s="40">
        <f t="shared" si="21"/>
        <v>7378.920000000001</v>
      </c>
      <c r="AL19" s="40">
        <f t="shared" si="21"/>
        <v>7378.920000000001</v>
      </c>
      <c r="AM19" s="40">
        <f t="shared" si="21"/>
        <v>7378.920000000001</v>
      </c>
      <c r="AN19" s="40">
        <f t="shared" si="21"/>
        <v>7378.920000000001</v>
      </c>
      <c r="AO19" s="40">
        <f t="shared" si="21"/>
        <v>7378.920000000001</v>
      </c>
      <c r="AP19" s="40">
        <f t="shared" si="21"/>
        <v>7378.920000000001</v>
      </c>
      <c r="AQ19" s="40">
        <f t="shared" si="21"/>
        <v>7378.920000000001</v>
      </c>
      <c r="AR19" s="40">
        <f t="shared" si="21"/>
        <v>7378.920000000001</v>
      </c>
      <c r="AS19" s="40">
        <f t="shared" si="22"/>
        <v>7378.920000000001</v>
      </c>
      <c r="AT19" s="40">
        <f t="shared" si="22"/>
        <v>7378.920000000001</v>
      </c>
      <c r="AU19" s="40">
        <f t="shared" si="22"/>
        <v>7378.920000000001</v>
      </c>
      <c r="AV19" s="40">
        <f t="shared" si="22"/>
        <v>7378.920000000001</v>
      </c>
      <c r="AW19" s="40">
        <f t="shared" si="22"/>
        <v>7600.2875999999997</v>
      </c>
      <c r="AX19" s="40">
        <f t="shared" si="22"/>
        <v>7600.2875999999997</v>
      </c>
      <c r="AY19" s="40">
        <f t="shared" si="22"/>
        <v>7600.2875999999997</v>
      </c>
      <c r="AZ19" s="40">
        <f t="shared" si="22"/>
        <v>7600.2875999999997</v>
      </c>
      <c r="BA19" s="40">
        <f t="shared" si="22"/>
        <v>0</v>
      </c>
      <c r="BB19" s="40">
        <f t="shared" si="22"/>
        <v>0</v>
      </c>
      <c r="BC19" s="40">
        <f t="shared" si="23"/>
        <v>0</v>
      </c>
      <c r="BD19" s="40">
        <f t="shared" si="23"/>
        <v>0</v>
      </c>
      <c r="BE19" s="40">
        <f t="shared" si="23"/>
        <v>12960.089999999998</v>
      </c>
      <c r="BF19" s="40">
        <f t="shared" si="23"/>
        <v>12960.089999999998</v>
      </c>
      <c r="BG19" s="40">
        <f t="shared" si="23"/>
        <v>12960.089999999998</v>
      </c>
      <c r="BH19" s="40">
        <f t="shared" si="23"/>
        <v>12960.089999999998</v>
      </c>
      <c r="BI19" s="40">
        <f t="shared" si="23"/>
        <v>12960.089999999998</v>
      </c>
      <c r="BJ19" s="40">
        <f t="shared" si="23"/>
        <v>12960.089999999998</v>
      </c>
      <c r="BK19" s="40">
        <f t="shared" si="23"/>
        <v>12960.089999999998</v>
      </c>
      <c r="BL19" s="40">
        <f t="shared" si="23"/>
        <v>12960.089999999998</v>
      </c>
      <c r="BM19" s="40">
        <f t="shared" si="24"/>
        <v>12960.089999999998</v>
      </c>
      <c r="BN19" s="40">
        <f t="shared" si="24"/>
        <v>12960.089999999998</v>
      </c>
      <c r="BO19" s="40">
        <f t="shared" si="24"/>
        <v>12960.089999999998</v>
      </c>
      <c r="BP19" s="40">
        <f t="shared" si="24"/>
        <v>13348.892699999999</v>
      </c>
      <c r="BQ19" s="40">
        <f t="shared" si="24"/>
        <v>13348.892699999999</v>
      </c>
      <c r="BR19" s="40">
        <f t="shared" si="24"/>
        <v>13348.892699999999</v>
      </c>
      <c r="BS19" s="40">
        <f t="shared" si="24"/>
        <v>13348.892699999999</v>
      </c>
      <c r="BT19" s="40">
        <f t="shared" si="24"/>
        <v>13348.892699999999</v>
      </c>
      <c r="BU19" s="40">
        <f t="shared" si="24"/>
        <v>13348.892699999999</v>
      </c>
      <c r="BV19" s="40">
        <f t="shared" si="24"/>
        <v>13348.892699999999</v>
      </c>
      <c r="BW19" s="40">
        <f t="shared" si="25"/>
        <v>13348.892699999999</v>
      </c>
      <c r="BX19" s="40">
        <f t="shared" si="25"/>
        <v>13348.892699999999</v>
      </c>
      <c r="BY19" s="40">
        <f t="shared" si="25"/>
        <v>13348.892699999999</v>
      </c>
      <c r="BZ19" s="40">
        <f t="shared" si="25"/>
        <v>13348.892699999999</v>
      </c>
      <c r="CA19" s="40">
        <f t="shared" si="25"/>
        <v>13348.892699999999</v>
      </c>
      <c r="CB19" s="40">
        <f t="shared" si="25"/>
        <v>13749.359480999998</v>
      </c>
      <c r="CC19" s="40">
        <f t="shared" si="25"/>
        <v>13749.359480999998</v>
      </c>
      <c r="CD19" s="40">
        <f t="shared" si="25"/>
        <v>13749.359480999998</v>
      </c>
      <c r="CE19" s="40">
        <f t="shared" si="25"/>
        <v>13749.359480999998</v>
      </c>
      <c r="CF19" s="40">
        <f t="shared" si="25"/>
        <v>13749.359480999998</v>
      </c>
      <c r="CG19" s="40">
        <f t="shared" si="26"/>
        <v>13749.359480999998</v>
      </c>
      <c r="CH19" s="40">
        <f t="shared" si="26"/>
        <v>13749.359480999998</v>
      </c>
      <c r="CI19" s="40">
        <f t="shared" si="26"/>
        <v>13749.359480999998</v>
      </c>
      <c r="CJ19" s="40">
        <f t="shared" si="26"/>
        <v>13749.359480999998</v>
      </c>
      <c r="CK19" s="40">
        <f t="shared" si="26"/>
        <v>13749.359480999998</v>
      </c>
      <c r="CL19" s="40">
        <f t="shared" si="26"/>
        <v>13749.359480999998</v>
      </c>
      <c r="CM19" s="40">
        <f t="shared" si="26"/>
        <v>13749.359480999998</v>
      </c>
      <c r="CN19" s="40">
        <f t="shared" si="26"/>
        <v>14161.840265429999</v>
      </c>
      <c r="CO19" s="40">
        <f t="shared" si="26"/>
        <v>14161.840265429999</v>
      </c>
      <c r="CP19" s="40">
        <f t="shared" si="26"/>
        <v>14161.840265429999</v>
      </c>
      <c r="CQ19" s="40">
        <f t="shared" si="27"/>
        <v>14161.840265429999</v>
      </c>
      <c r="CR19" s="40">
        <f t="shared" si="27"/>
        <v>14161.840265429999</v>
      </c>
      <c r="CS19" s="40">
        <f t="shared" si="27"/>
        <v>14161.840265429999</v>
      </c>
      <c r="CT19" s="40">
        <f t="shared" si="27"/>
        <v>14161.840265429999</v>
      </c>
      <c r="CU19" s="40">
        <f t="shared" si="27"/>
        <v>14161.840265429999</v>
      </c>
      <c r="CV19" s="40">
        <f t="shared" si="27"/>
        <v>14161.840265429999</v>
      </c>
      <c r="CW19" s="40">
        <f t="shared" si="27"/>
        <v>14161.840265429999</v>
      </c>
      <c r="CX19" s="40">
        <f t="shared" si="27"/>
        <v>14161.840265429999</v>
      </c>
      <c r="CY19" s="40">
        <f t="shared" si="27"/>
        <v>14161.840265429999</v>
      </c>
      <c r="CZ19" s="40">
        <f t="shared" si="27"/>
        <v>14586.695473392896</v>
      </c>
      <c r="DA19" s="40">
        <f t="shared" si="28"/>
        <v>14586.695473392896</v>
      </c>
      <c r="DB19" s="40">
        <f t="shared" si="28"/>
        <v>14586.695473392896</v>
      </c>
      <c r="DC19" s="40">
        <f t="shared" si="28"/>
        <v>14586.695473392896</v>
      </c>
      <c r="DD19" s="40">
        <f t="shared" si="28"/>
        <v>14586.695473392896</v>
      </c>
      <c r="DE19" s="40">
        <f t="shared" si="28"/>
        <v>14586.695473392896</v>
      </c>
      <c r="DF19" s="40">
        <f t="shared" si="28"/>
        <v>14586.695473392896</v>
      </c>
      <c r="DG19" s="40">
        <f t="shared" si="28"/>
        <v>14586.695473392896</v>
      </c>
      <c r="DH19" s="40">
        <f t="shared" si="28"/>
        <v>14586.695473392896</v>
      </c>
      <c r="DI19" s="40">
        <f t="shared" si="28"/>
        <v>14586.695473392896</v>
      </c>
      <c r="DJ19" s="40">
        <f t="shared" si="28"/>
        <v>14586.695473392896</v>
      </c>
      <c r="DK19" s="40">
        <f t="shared" si="29"/>
        <v>14586.695473392896</v>
      </c>
      <c r="DL19" s="40">
        <f t="shared" si="29"/>
        <v>15024.296337594684</v>
      </c>
      <c r="DM19" s="40">
        <f t="shared" si="29"/>
        <v>15024.296337594684</v>
      </c>
      <c r="DN19" s="40">
        <f t="shared" si="29"/>
        <v>15024.296337594684</v>
      </c>
      <c r="DO19" s="40">
        <f t="shared" si="29"/>
        <v>15024.296337594684</v>
      </c>
      <c r="DP19" s="40">
        <f t="shared" si="29"/>
        <v>15024.296337594684</v>
      </c>
      <c r="DQ19" s="40">
        <f t="shared" si="29"/>
        <v>15024.296337594684</v>
      </c>
      <c r="DR19" s="40">
        <f t="shared" si="29"/>
        <v>15024.296337594684</v>
      </c>
      <c r="DS19" s="40">
        <f t="shared" si="29"/>
        <v>15024.296337594684</v>
      </c>
      <c r="DT19" s="40">
        <f t="shared" si="29"/>
        <v>15024.296337594684</v>
      </c>
      <c r="DU19" s="40">
        <f t="shared" si="30"/>
        <v>15024.296337594684</v>
      </c>
      <c r="DV19" s="40">
        <f t="shared" si="30"/>
        <v>15024.296337594684</v>
      </c>
      <c r="DW19" s="40">
        <f t="shared" si="30"/>
        <v>15024.296337594684</v>
      </c>
      <c r="DX19" s="40">
        <f t="shared" si="30"/>
        <v>15475.025227722525</v>
      </c>
      <c r="DY19" s="40">
        <f t="shared" si="30"/>
        <v>15475.025227722525</v>
      </c>
      <c r="DZ19" s="40">
        <f t="shared" si="30"/>
        <v>15475.025227722525</v>
      </c>
      <c r="EA19" s="40">
        <f t="shared" si="30"/>
        <v>15475.025227722525</v>
      </c>
      <c r="EB19" s="40">
        <f t="shared" si="30"/>
        <v>15475.025227722525</v>
      </c>
      <c r="EC19" s="40">
        <f t="shared" si="30"/>
        <v>15475.025227722525</v>
      </c>
      <c r="ED19" s="40">
        <f t="shared" si="30"/>
        <v>15475.025227722525</v>
      </c>
      <c r="EE19" s="40">
        <f t="shared" si="31"/>
        <v>15475.025227722525</v>
      </c>
      <c r="EF19" s="40">
        <f t="shared" si="31"/>
        <v>15475.025227722525</v>
      </c>
      <c r="EG19" s="40">
        <f t="shared" si="31"/>
        <v>15475.025227722525</v>
      </c>
      <c r="EH19" s="40">
        <f t="shared" si="31"/>
        <v>15475.025227722525</v>
      </c>
      <c r="EI19" s="40">
        <f t="shared" si="31"/>
        <v>15475.025227722525</v>
      </c>
      <c r="EJ19" s="40">
        <f t="shared" si="31"/>
        <v>15939.275984554202</v>
      </c>
      <c r="EK19" s="40">
        <f t="shared" si="31"/>
        <v>15939.275984554202</v>
      </c>
      <c r="EL19" s="40">
        <f t="shared" si="31"/>
        <v>15939.275984554202</v>
      </c>
      <c r="EM19" s="40">
        <f t="shared" si="31"/>
        <v>15939.275984554202</v>
      </c>
      <c r="EN19" s="40">
        <f t="shared" si="31"/>
        <v>15939.275984554202</v>
      </c>
    </row>
    <row r="20" spans="2:144" x14ac:dyDescent="0.35">
      <c r="B20" s="37" t="s">
        <v>287</v>
      </c>
      <c r="C20" s="19" t="s">
        <v>288</v>
      </c>
      <c r="D20" s="20">
        <v>10800</v>
      </c>
      <c r="E20" s="18">
        <f t="shared" si="8"/>
        <v>8.9050131926121379E-3</v>
      </c>
      <c r="F20" s="38">
        <v>44409</v>
      </c>
      <c r="G20" s="38">
        <v>46569</v>
      </c>
      <c r="H20" s="32">
        <v>9.51</v>
      </c>
      <c r="I20" s="28">
        <f t="shared" si="9"/>
        <v>102708</v>
      </c>
      <c r="J20" s="26">
        <v>0.04</v>
      </c>
      <c r="K20" s="37" t="s">
        <v>266</v>
      </c>
      <c r="L20" s="32">
        <v>13</v>
      </c>
      <c r="M20" s="37" t="s">
        <v>267</v>
      </c>
      <c r="N20" s="39">
        <f t="shared" si="10"/>
        <v>-28</v>
      </c>
      <c r="O20" s="39">
        <f t="shared" si="11"/>
        <v>43</v>
      </c>
      <c r="P20" s="39">
        <f t="shared" si="12"/>
        <v>44</v>
      </c>
      <c r="Q20" s="39">
        <f t="shared" si="13"/>
        <v>3</v>
      </c>
      <c r="R20" s="39">
        <f t="shared" si="14"/>
        <v>47</v>
      </c>
      <c r="S20" s="39">
        <f t="shared" si="15"/>
        <v>1</v>
      </c>
      <c r="T20" s="39">
        <f t="shared" si="16"/>
        <v>48</v>
      </c>
      <c r="U20" s="39">
        <f t="shared" si="17"/>
        <v>4</v>
      </c>
      <c r="V20" s="39">
        <f t="shared" si="18"/>
        <v>25650</v>
      </c>
      <c r="W20" s="39">
        <f>IF(D20="",0,Retention_Ratio*LC_Ren*LeaseTermYrs*'Rent Roll'!D20*'Rent Roll'!X20+(1-Retention_Ratio)*LC_Ren*LeaseTermYrs*'Rent Roll'!D20*'Rent Roll'!X20)</f>
        <v>24377.929289999996</v>
      </c>
      <c r="X20" s="25">
        <f t="shared" si="19"/>
        <v>15.048104499999999</v>
      </c>
      <c r="Y20" s="40">
        <f t="shared" ref="Y20:AH29" si="32">IF($D20="",0,IF(Y$5&lt;$N20,0,IF(Y$5&lt;=$O20,$D20*$H20*(1+$J20)^FLOOR((Y$5-1)/12,1)/12,IF(Y$5&lt;$T20,0,$D20*$X20*(1+$J20)^FLOOR((Y$5-$R20)/12,1)/12))))</f>
        <v>8559</v>
      </c>
      <c r="Z20" s="40">
        <f t="shared" si="32"/>
        <v>8559</v>
      </c>
      <c r="AA20" s="40">
        <f t="shared" si="32"/>
        <v>8559</v>
      </c>
      <c r="AB20" s="40">
        <f t="shared" si="32"/>
        <v>8559</v>
      </c>
      <c r="AC20" s="40">
        <f t="shared" si="32"/>
        <v>8559</v>
      </c>
      <c r="AD20" s="40">
        <f t="shared" si="32"/>
        <v>8559</v>
      </c>
      <c r="AE20" s="40">
        <f t="shared" si="32"/>
        <v>8559</v>
      </c>
      <c r="AF20" s="40">
        <f t="shared" si="32"/>
        <v>8559</v>
      </c>
      <c r="AG20" s="40">
        <f t="shared" si="32"/>
        <v>8559</v>
      </c>
      <c r="AH20" s="40">
        <f t="shared" si="32"/>
        <v>8559</v>
      </c>
      <c r="AI20" s="40">
        <f t="shared" ref="AI20:AR29" si="33">IF($D20="",0,IF(AI$5&lt;$N20,0,IF(AI$5&lt;=$O20,$D20*$H20*(1+$J20)^FLOOR((AI$5-1)/12,1)/12,IF(AI$5&lt;$T20,0,$D20*$X20*(1+$J20)^FLOOR((AI$5-$R20)/12,1)/12))))</f>
        <v>8559</v>
      </c>
      <c r="AJ20" s="40">
        <f t="shared" si="33"/>
        <v>8559</v>
      </c>
      <c r="AK20" s="40">
        <f t="shared" si="33"/>
        <v>8901.36</v>
      </c>
      <c r="AL20" s="40">
        <f t="shared" si="33"/>
        <v>8901.36</v>
      </c>
      <c r="AM20" s="40">
        <f t="shared" si="33"/>
        <v>8901.36</v>
      </c>
      <c r="AN20" s="40">
        <f t="shared" si="33"/>
        <v>8901.36</v>
      </c>
      <c r="AO20" s="40">
        <f t="shared" si="33"/>
        <v>8901.36</v>
      </c>
      <c r="AP20" s="40">
        <f t="shared" si="33"/>
        <v>8901.36</v>
      </c>
      <c r="AQ20" s="40">
        <f t="shared" si="33"/>
        <v>8901.36</v>
      </c>
      <c r="AR20" s="40">
        <f t="shared" si="33"/>
        <v>8901.36</v>
      </c>
      <c r="AS20" s="40">
        <f t="shared" ref="AS20:BB29" si="34">IF($D20="",0,IF(AS$5&lt;$N20,0,IF(AS$5&lt;=$O20,$D20*$H20*(1+$J20)^FLOOR((AS$5-1)/12,1)/12,IF(AS$5&lt;$T20,0,$D20*$X20*(1+$J20)^FLOOR((AS$5-$R20)/12,1)/12))))</f>
        <v>8901.36</v>
      </c>
      <c r="AT20" s="40">
        <f t="shared" si="34"/>
        <v>8901.36</v>
      </c>
      <c r="AU20" s="40">
        <f t="shared" si="34"/>
        <v>8901.36</v>
      </c>
      <c r="AV20" s="40">
        <f t="shared" si="34"/>
        <v>8901.36</v>
      </c>
      <c r="AW20" s="40">
        <f t="shared" si="34"/>
        <v>9257.4144000000015</v>
      </c>
      <c r="AX20" s="40">
        <f t="shared" si="34"/>
        <v>9257.4144000000015</v>
      </c>
      <c r="AY20" s="40">
        <f t="shared" si="34"/>
        <v>9257.4144000000015</v>
      </c>
      <c r="AZ20" s="40">
        <f t="shared" si="34"/>
        <v>9257.4144000000015</v>
      </c>
      <c r="BA20" s="40">
        <f t="shared" si="34"/>
        <v>9257.4144000000015</v>
      </c>
      <c r="BB20" s="40">
        <f t="shared" si="34"/>
        <v>9257.4144000000015</v>
      </c>
      <c r="BC20" s="40">
        <f t="shared" ref="BC20:BL29" si="35">IF($D20="",0,IF(BC$5&lt;$N20,0,IF(BC$5&lt;=$O20,$D20*$H20*(1+$J20)^FLOOR((BC$5-1)/12,1)/12,IF(BC$5&lt;$T20,0,$D20*$X20*(1+$J20)^FLOOR((BC$5-$R20)/12,1)/12))))</f>
        <v>9257.4144000000015</v>
      </c>
      <c r="BD20" s="40">
        <f t="shared" si="35"/>
        <v>9257.4144000000015</v>
      </c>
      <c r="BE20" s="40">
        <f t="shared" si="35"/>
        <v>9257.4144000000015</v>
      </c>
      <c r="BF20" s="40">
        <f t="shared" si="35"/>
        <v>9257.4144000000015</v>
      </c>
      <c r="BG20" s="40">
        <f t="shared" si="35"/>
        <v>9257.4144000000015</v>
      </c>
      <c r="BH20" s="40">
        <f t="shared" si="35"/>
        <v>9257.4144000000015</v>
      </c>
      <c r="BI20" s="40">
        <f t="shared" si="35"/>
        <v>9627.7109760000003</v>
      </c>
      <c r="BJ20" s="40">
        <f t="shared" si="35"/>
        <v>9627.7109760000003</v>
      </c>
      <c r="BK20" s="40">
        <f t="shared" si="35"/>
        <v>9627.7109760000003</v>
      </c>
      <c r="BL20" s="40">
        <f t="shared" si="35"/>
        <v>9627.7109760000003</v>
      </c>
      <c r="BM20" s="40">
        <f t="shared" ref="BM20:BV29" si="36">IF($D20="",0,IF(BM$5&lt;$N20,0,IF(BM$5&lt;=$O20,$D20*$H20*(1+$J20)^FLOOR((BM$5-1)/12,1)/12,IF(BM$5&lt;$T20,0,$D20*$X20*(1+$J20)^FLOOR((BM$5-$R20)/12,1)/12))))</f>
        <v>9627.7109760000003</v>
      </c>
      <c r="BN20" s="40">
        <f t="shared" si="36"/>
        <v>9627.7109760000003</v>
      </c>
      <c r="BO20" s="40">
        <f t="shared" si="36"/>
        <v>9627.7109760000003</v>
      </c>
      <c r="BP20" s="40">
        <f t="shared" si="36"/>
        <v>0</v>
      </c>
      <c r="BQ20" s="40">
        <f t="shared" si="36"/>
        <v>0</v>
      </c>
      <c r="BR20" s="40">
        <f t="shared" si="36"/>
        <v>0</v>
      </c>
      <c r="BS20" s="40">
        <f t="shared" si="36"/>
        <v>0</v>
      </c>
      <c r="BT20" s="40">
        <f t="shared" si="36"/>
        <v>13543.294049999999</v>
      </c>
      <c r="BU20" s="40">
        <f t="shared" si="36"/>
        <v>13543.294049999999</v>
      </c>
      <c r="BV20" s="40">
        <f t="shared" si="36"/>
        <v>13543.294049999999</v>
      </c>
      <c r="BW20" s="40">
        <f t="shared" ref="BW20:CF29" si="37">IF($D20="",0,IF(BW$5&lt;$N20,0,IF(BW$5&lt;=$O20,$D20*$H20*(1+$J20)^FLOOR((BW$5-1)/12,1)/12,IF(BW$5&lt;$T20,0,$D20*$X20*(1+$J20)^FLOOR((BW$5-$R20)/12,1)/12))))</f>
        <v>13543.294049999999</v>
      </c>
      <c r="BX20" s="40">
        <f t="shared" si="37"/>
        <v>13543.294049999999</v>
      </c>
      <c r="BY20" s="40">
        <f t="shared" si="37"/>
        <v>13543.294049999999</v>
      </c>
      <c r="BZ20" s="40">
        <f t="shared" si="37"/>
        <v>13543.294049999999</v>
      </c>
      <c r="CA20" s="40">
        <f t="shared" si="37"/>
        <v>13543.294049999999</v>
      </c>
      <c r="CB20" s="40">
        <f t="shared" si="37"/>
        <v>13543.294049999999</v>
      </c>
      <c r="CC20" s="40">
        <f t="shared" si="37"/>
        <v>13543.294049999999</v>
      </c>
      <c r="CD20" s="40">
        <f t="shared" si="37"/>
        <v>13543.294049999999</v>
      </c>
      <c r="CE20" s="40">
        <f t="shared" si="37"/>
        <v>14085.025812</v>
      </c>
      <c r="CF20" s="40">
        <f t="shared" si="37"/>
        <v>14085.025812</v>
      </c>
      <c r="CG20" s="40">
        <f t="shared" ref="CG20:CP29" si="38">IF($D20="",0,IF(CG$5&lt;$N20,0,IF(CG$5&lt;=$O20,$D20*$H20*(1+$J20)^FLOOR((CG$5-1)/12,1)/12,IF(CG$5&lt;$T20,0,$D20*$X20*(1+$J20)^FLOOR((CG$5-$R20)/12,1)/12))))</f>
        <v>14085.025812</v>
      </c>
      <c r="CH20" s="40">
        <f t="shared" si="38"/>
        <v>14085.025812</v>
      </c>
      <c r="CI20" s="40">
        <f t="shared" si="38"/>
        <v>14085.025812</v>
      </c>
      <c r="CJ20" s="40">
        <f t="shared" si="38"/>
        <v>14085.025812</v>
      </c>
      <c r="CK20" s="40">
        <f t="shared" si="38"/>
        <v>14085.025812</v>
      </c>
      <c r="CL20" s="40">
        <f t="shared" si="38"/>
        <v>14085.025812</v>
      </c>
      <c r="CM20" s="40">
        <f t="shared" si="38"/>
        <v>14085.025812</v>
      </c>
      <c r="CN20" s="40">
        <f t="shared" si="38"/>
        <v>14085.025812</v>
      </c>
      <c r="CO20" s="40">
        <f t="shared" si="38"/>
        <v>14085.025812</v>
      </c>
      <c r="CP20" s="40">
        <f t="shared" si="38"/>
        <v>14085.025812</v>
      </c>
      <c r="CQ20" s="40">
        <f t="shared" ref="CQ20:CZ29" si="39">IF($D20="",0,IF(CQ$5&lt;$N20,0,IF(CQ$5&lt;=$O20,$D20*$H20*(1+$J20)^FLOOR((CQ$5-1)/12,1)/12,IF(CQ$5&lt;$T20,0,$D20*$X20*(1+$J20)^FLOOR((CQ$5-$R20)/12,1)/12))))</f>
        <v>14648.426844480002</v>
      </c>
      <c r="CR20" s="40">
        <f t="shared" si="39"/>
        <v>14648.426844480002</v>
      </c>
      <c r="CS20" s="40">
        <f t="shared" si="39"/>
        <v>14648.426844480002</v>
      </c>
      <c r="CT20" s="40">
        <f t="shared" si="39"/>
        <v>14648.426844480002</v>
      </c>
      <c r="CU20" s="40">
        <f t="shared" si="39"/>
        <v>14648.426844480002</v>
      </c>
      <c r="CV20" s="40">
        <f t="shared" si="39"/>
        <v>14648.426844480002</v>
      </c>
      <c r="CW20" s="40">
        <f t="shared" si="39"/>
        <v>14648.426844480002</v>
      </c>
      <c r="CX20" s="40">
        <f t="shared" si="39"/>
        <v>14648.426844480002</v>
      </c>
      <c r="CY20" s="40">
        <f t="shared" si="39"/>
        <v>14648.426844480002</v>
      </c>
      <c r="CZ20" s="40">
        <f t="shared" si="39"/>
        <v>14648.426844480002</v>
      </c>
      <c r="DA20" s="40">
        <f t="shared" ref="DA20:DJ29" si="40">IF($D20="",0,IF(DA$5&lt;$N20,0,IF(DA$5&lt;=$O20,$D20*$H20*(1+$J20)^FLOOR((DA$5-1)/12,1)/12,IF(DA$5&lt;$T20,0,$D20*$X20*(1+$J20)^FLOOR((DA$5-$R20)/12,1)/12))))</f>
        <v>14648.426844480002</v>
      </c>
      <c r="DB20" s="40">
        <f t="shared" si="40"/>
        <v>14648.426844480002</v>
      </c>
      <c r="DC20" s="40">
        <f t="shared" si="40"/>
        <v>15234.363918259201</v>
      </c>
      <c r="DD20" s="40">
        <f t="shared" si="40"/>
        <v>15234.363918259201</v>
      </c>
      <c r="DE20" s="40">
        <f t="shared" si="40"/>
        <v>15234.363918259201</v>
      </c>
      <c r="DF20" s="40">
        <f t="shared" si="40"/>
        <v>15234.363918259201</v>
      </c>
      <c r="DG20" s="40">
        <f t="shared" si="40"/>
        <v>15234.363918259201</v>
      </c>
      <c r="DH20" s="40">
        <f t="shared" si="40"/>
        <v>15234.363918259201</v>
      </c>
      <c r="DI20" s="40">
        <f t="shared" si="40"/>
        <v>15234.363918259201</v>
      </c>
      <c r="DJ20" s="40">
        <f t="shared" si="40"/>
        <v>15234.363918259201</v>
      </c>
      <c r="DK20" s="40">
        <f t="shared" ref="DK20:DT29" si="41">IF($D20="",0,IF(DK$5&lt;$N20,0,IF(DK$5&lt;=$O20,$D20*$H20*(1+$J20)^FLOOR((DK$5-1)/12,1)/12,IF(DK$5&lt;$T20,0,$D20*$X20*(1+$J20)^FLOOR((DK$5-$R20)/12,1)/12))))</f>
        <v>15234.363918259201</v>
      </c>
      <c r="DL20" s="40">
        <f t="shared" si="41"/>
        <v>15234.363918259201</v>
      </c>
      <c r="DM20" s="40">
        <f t="shared" si="41"/>
        <v>15234.363918259201</v>
      </c>
      <c r="DN20" s="40">
        <f t="shared" si="41"/>
        <v>15234.363918259201</v>
      </c>
      <c r="DO20" s="40">
        <f t="shared" si="41"/>
        <v>15843.73847498957</v>
      </c>
      <c r="DP20" s="40">
        <f t="shared" si="41"/>
        <v>15843.73847498957</v>
      </c>
      <c r="DQ20" s="40">
        <f t="shared" si="41"/>
        <v>15843.73847498957</v>
      </c>
      <c r="DR20" s="40">
        <f t="shared" si="41"/>
        <v>15843.73847498957</v>
      </c>
      <c r="DS20" s="40">
        <f t="shared" si="41"/>
        <v>15843.73847498957</v>
      </c>
      <c r="DT20" s="40">
        <f t="shared" si="41"/>
        <v>15843.73847498957</v>
      </c>
      <c r="DU20" s="40">
        <f t="shared" ref="DU20:ED29" si="42">IF($D20="",0,IF(DU$5&lt;$N20,0,IF(DU$5&lt;=$O20,$D20*$H20*(1+$J20)^FLOOR((DU$5-1)/12,1)/12,IF(DU$5&lt;$T20,0,$D20*$X20*(1+$J20)^FLOOR((DU$5-$R20)/12,1)/12))))</f>
        <v>15843.73847498957</v>
      </c>
      <c r="DV20" s="40">
        <f t="shared" si="42"/>
        <v>15843.73847498957</v>
      </c>
      <c r="DW20" s="40">
        <f t="shared" si="42"/>
        <v>15843.73847498957</v>
      </c>
      <c r="DX20" s="40">
        <f t="shared" si="42"/>
        <v>15843.73847498957</v>
      </c>
      <c r="DY20" s="40">
        <f t="shared" si="42"/>
        <v>15843.73847498957</v>
      </c>
      <c r="DZ20" s="40">
        <f t="shared" si="42"/>
        <v>15843.73847498957</v>
      </c>
      <c r="EA20" s="40">
        <f t="shared" si="42"/>
        <v>16477.488013989154</v>
      </c>
      <c r="EB20" s="40">
        <f t="shared" si="42"/>
        <v>16477.488013989154</v>
      </c>
      <c r="EC20" s="40">
        <f t="shared" si="42"/>
        <v>16477.488013989154</v>
      </c>
      <c r="ED20" s="40">
        <f t="shared" si="42"/>
        <v>16477.488013989154</v>
      </c>
      <c r="EE20" s="40">
        <f t="shared" ref="EE20:EN29" si="43">IF($D20="",0,IF(EE$5&lt;$N20,0,IF(EE$5&lt;=$O20,$D20*$H20*(1+$J20)^FLOOR((EE$5-1)/12,1)/12,IF(EE$5&lt;$T20,0,$D20*$X20*(1+$J20)^FLOOR((EE$5-$R20)/12,1)/12))))</f>
        <v>16477.488013989154</v>
      </c>
      <c r="EF20" s="40">
        <f t="shared" si="43"/>
        <v>16477.488013989154</v>
      </c>
      <c r="EG20" s="40">
        <f t="shared" si="43"/>
        <v>16477.488013989154</v>
      </c>
      <c r="EH20" s="40">
        <f t="shared" si="43"/>
        <v>16477.488013989154</v>
      </c>
      <c r="EI20" s="40">
        <f t="shared" si="43"/>
        <v>16477.488013989154</v>
      </c>
      <c r="EJ20" s="40">
        <f t="shared" si="43"/>
        <v>16477.488013989154</v>
      </c>
      <c r="EK20" s="40">
        <f t="shared" si="43"/>
        <v>16477.488013989154</v>
      </c>
      <c r="EL20" s="40">
        <f t="shared" si="43"/>
        <v>16477.488013989154</v>
      </c>
      <c r="EM20" s="40">
        <f t="shared" si="43"/>
        <v>17136.587534548718</v>
      </c>
      <c r="EN20" s="40">
        <f t="shared" si="43"/>
        <v>17136.587534548718</v>
      </c>
    </row>
    <row r="21" spans="2:144" x14ac:dyDescent="0.35">
      <c r="B21" s="37" t="s">
        <v>289</v>
      </c>
      <c r="C21" s="19" t="s">
        <v>290</v>
      </c>
      <c r="D21" s="20">
        <v>10800</v>
      </c>
      <c r="E21" s="18">
        <f t="shared" si="8"/>
        <v>8.9050131926121379E-3</v>
      </c>
      <c r="F21" s="38">
        <v>44621</v>
      </c>
      <c r="G21" s="38">
        <v>46478</v>
      </c>
      <c r="H21" s="32">
        <v>8.75</v>
      </c>
      <c r="I21" s="28">
        <f t="shared" si="9"/>
        <v>94500</v>
      </c>
      <c r="J21" s="26">
        <v>0.04</v>
      </c>
      <c r="K21" s="37" t="s">
        <v>266</v>
      </c>
      <c r="L21" s="32">
        <v>13</v>
      </c>
      <c r="M21" s="37" t="s">
        <v>267</v>
      </c>
      <c r="N21" s="39">
        <f t="shared" si="10"/>
        <v>-21</v>
      </c>
      <c r="O21" s="39">
        <f t="shared" si="11"/>
        <v>40</v>
      </c>
      <c r="P21" s="39">
        <f t="shared" si="12"/>
        <v>41</v>
      </c>
      <c r="Q21" s="39">
        <f t="shared" si="13"/>
        <v>3</v>
      </c>
      <c r="R21" s="39">
        <f t="shared" si="14"/>
        <v>44</v>
      </c>
      <c r="S21" s="39">
        <f t="shared" si="15"/>
        <v>1</v>
      </c>
      <c r="T21" s="39">
        <f t="shared" si="16"/>
        <v>45</v>
      </c>
      <c r="U21" s="39">
        <f t="shared" si="17"/>
        <v>4</v>
      </c>
      <c r="V21" s="39">
        <f t="shared" si="18"/>
        <v>25650</v>
      </c>
      <c r="W21" s="39">
        <f>IF(D21="",0,Retention_Ratio*LC_Ren*LeaseTermYrs*'Rent Roll'!D21*'Rent Roll'!X21+(1-Retention_Ratio)*LC_Ren*LeaseTermYrs*'Rent Roll'!D21*'Rent Roll'!X21)</f>
        <v>24377.929289999996</v>
      </c>
      <c r="X21" s="25">
        <f t="shared" si="19"/>
        <v>15.048104499999999</v>
      </c>
      <c r="Y21" s="40">
        <f t="shared" si="32"/>
        <v>7875</v>
      </c>
      <c r="Z21" s="40">
        <f t="shared" si="32"/>
        <v>7875</v>
      </c>
      <c r="AA21" s="40">
        <f t="shared" si="32"/>
        <v>7875</v>
      </c>
      <c r="AB21" s="40">
        <f t="shared" si="32"/>
        <v>7875</v>
      </c>
      <c r="AC21" s="40">
        <f t="shared" si="32"/>
        <v>7875</v>
      </c>
      <c r="AD21" s="40">
        <f t="shared" si="32"/>
        <v>7875</v>
      </c>
      <c r="AE21" s="40">
        <f t="shared" si="32"/>
        <v>7875</v>
      </c>
      <c r="AF21" s="40">
        <f t="shared" si="32"/>
        <v>7875</v>
      </c>
      <c r="AG21" s="40">
        <f t="shared" si="32"/>
        <v>7875</v>
      </c>
      <c r="AH21" s="40">
        <f t="shared" si="32"/>
        <v>7875</v>
      </c>
      <c r="AI21" s="40">
        <f t="shared" si="33"/>
        <v>7875</v>
      </c>
      <c r="AJ21" s="40">
        <f t="shared" si="33"/>
        <v>7875</v>
      </c>
      <c r="AK21" s="40">
        <f t="shared" si="33"/>
        <v>8190</v>
      </c>
      <c r="AL21" s="40">
        <f t="shared" si="33"/>
        <v>8190</v>
      </c>
      <c r="AM21" s="40">
        <f t="shared" si="33"/>
        <v>8190</v>
      </c>
      <c r="AN21" s="40">
        <f t="shared" si="33"/>
        <v>8190</v>
      </c>
      <c r="AO21" s="40">
        <f t="shared" si="33"/>
        <v>8190</v>
      </c>
      <c r="AP21" s="40">
        <f t="shared" si="33"/>
        <v>8190</v>
      </c>
      <c r="AQ21" s="40">
        <f t="shared" si="33"/>
        <v>8190</v>
      </c>
      <c r="AR21" s="40">
        <f t="shared" si="33"/>
        <v>8190</v>
      </c>
      <c r="AS21" s="40">
        <f t="shared" si="34"/>
        <v>8190</v>
      </c>
      <c r="AT21" s="40">
        <f t="shared" si="34"/>
        <v>8190</v>
      </c>
      <c r="AU21" s="40">
        <f t="shared" si="34"/>
        <v>8190</v>
      </c>
      <c r="AV21" s="40">
        <f t="shared" si="34"/>
        <v>8190</v>
      </c>
      <c r="AW21" s="40">
        <f t="shared" si="34"/>
        <v>8517.6</v>
      </c>
      <c r="AX21" s="40">
        <f t="shared" si="34"/>
        <v>8517.6</v>
      </c>
      <c r="AY21" s="40">
        <f t="shared" si="34"/>
        <v>8517.6</v>
      </c>
      <c r="AZ21" s="40">
        <f t="shared" si="34"/>
        <v>8517.6</v>
      </c>
      <c r="BA21" s="40">
        <f t="shared" si="34"/>
        <v>8517.6</v>
      </c>
      <c r="BB21" s="40">
        <f t="shared" si="34"/>
        <v>8517.6</v>
      </c>
      <c r="BC21" s="40">
        <f t="shared" si="35"/>
        <v>8517.6</v>
      </c>
      <c r="BD21" s="40">
        <f t="shared" si="35"/>
        <v>8517.6</v>
      </c>
      <c r="BE21" s="40">
        <f t="shared" si="35"/>
        <v>8517.6</v>
      </c>
      <c r="BF21" s="40">
        <f t="shared" si="35"/>
        <v>8517.6</v>
      </c>
      <c r="BG21" s="40">
        <f t="shared" si="35"/>
        <v>8517.6</v>
      </c>
      <c r="BH21" s="40">
        <f t="shared" si="35"/>
        <v>8517.6</v>
      </c>
      <c r="BI21" s="40">
        <f t="shared" si="35"/>
        <v>8858.3040000000001</v>
      </c>
      <c r="BJ21" s="40">
        <f t="shared" si="35"/>
        <v>8858.3040000000001</v>
      </c>
      <c r="BK21" s="40">
        <f t="shared" si="35"/>
        <v>8858.3040000000001</v>
      </c>
      <c r="BL21" s="40">
        <f t="shared" si="35"/>
        <v>8858.3040000000001</v>
      </c>
      <c r="BM21" s="40">
        <f t="shared" si="36"/>
        <v>0</v>
      </c>
      <c r="BN21" s="40">
        <f t="shared" si="36"/>
        <v>0</v>
      </c>
      <c r="BO21" s="40">
        <f t="shared" si="36"/>
        <v>0</v>
      </c>
      <c r="BP21" s="40">
        <f t="shared" si="36"/>
        <v>0</v>
      </c>
      <c r="BQ21" s="40">
        <f t="shared" si="36"/>
        <v>13543.294049999999</v>
      </c>
      <c r="BR21" s="40">
        <f t="shared" si="36"/>
        <v>13543.294049999999</v>
      </c>
      <c r="BS21" s="40">
        <f t="shared" si="36"/>
        <v>13543.294049999999</v>
      </c>
      <c r="BT21" s="40">
        <f t="shared" si="36"/>
        <v>13543.294049999999</v>
      </c>
      <c r="BU21" s="40">
        <f t="shared" si="36"/>
        <v>13543.294049999999</v>
      </c>
      <c r="BV21" s="40">
        <f t="shared" si="36"/>
        <v>13543.294049999999</v>
      </c>
      <c r="BW21" s="40">
        <f t="shared" si="37"/>
        <v>13543.294049999999</v>
      </c>
      <c r="BX21" s="40">
        <f t="shared" si="37"/>
        <v>13543.294049999999</v>
      </c>
      <c r="BY21" s="40">
        <f t="shared" si="37"/>
        <v>13543.294049999999</v>
      </c>
      <c r="BZ21" s="40">
        <f t="shared" si="37"/>
        <v>13543.294049999999</v>
      </c>
      <c r="CA21" s="40">
        <f t="shared" si="37"/>
        <v>13543.294049999999</v>
      </c>
      <c r="CB21" s="40">
        <f t="shared" si="37"/>
        <v>14085.025812</v>
      </c>
      <c r="CC21" s="40">
        <f t="shared" si="37"/>
        <v>14085.025812</v>
      </c>
      <c r="CD21" s="40">
        <f t="shared" si="37"/>
        <v>14085.025812</v>
      </c>
      <c r="CE21" s="40">
        <f t="shared" si="37"/>
        <v>14085.025812</v>
      </c>
      <c r="CF21" s="40">
        <f t="shared" si="37"/>
        <v>14085.025812</v>
      </c>
      <c r="CG21" s="40">
        <f t="shared" si="38"/>
        <v>14085.025812</v>
      </c>
      <c r="CH21" s="40">
        <f t="shared" si="38"/>
        <v>14085.025812</v>
      </c>
      <c r="CI21" s="40">
        <f t="shared" si="38"/>
        <v>14085.025812</v>
      </c>
      <c r="CJ21" s="40">
        <f t="shared" si="38"/>
        <v>14085.025812</v>
      </c>
      <c r="CK21" s="40">
        <f t="shared" si="38"/>
        <v>14085.025812</v>
      </c>
      <c r="CL21" s="40">
        <f t="shared" si="38"/>
        <v>14085.025812</v>
      </c>
      <c r="CM21" s="40">
        <f t="shared" si="38"/>
        <v>14085.025812</v>
      </c>
      <c r="CN21" s="40">
        <f t="shared" si="38"/>
        <v>14648.426844480002</v>
      </c>
      <c r="CO21" s="40">
        <f t="shared" si="38"/>
        <v>14648.426844480002</v>
      </c>
      <c r="CP21" s="40">
        <f t="shared" si="38"/>
        <v>14648.426844480002</v>
      </c>
      <c r="CQ21" s="40">
        <f t="shared" si="39"/>
        <v>14648.426844480002</v>
      </c>
      <c r="CR21" s="40">
        <f t="shared" si="39"/>
        <v>14648.426844480002</v>
      </c>
      <c r="CS21" s="40">
        <f t="shared" si="39"/>
        <v>14648.426844480002</v>
      </c>
      <c r="CT21" s="40">
        <f t="shared" si="39"/>
        <v>14648.426844480002</v>
      </c>
      <c r="CU21" s="40">
        <f t="shared" si="39"/>
        <v>14648.426844480002</v>
      </c>
      <c r="CV21" s="40">
        <f t="shared" si="39"/>
        <v>14648.426844480002</v>
      </c>
      <c r="CW21" s="40">
        <f t="shared" si="39"/>
        <v>14648.426844480002</v>
      </c>
      <c r="CX21" s="40">
        <f t="shared" si="39"/>
        <v>14648.426844480002</v>
      </c>
      <c r="CY21" s="40">
        <f t="shared" si="39"/>
        <v>14648.426844480002</v>
      </c>
      <c r="CZ21" s="40">
        <f t="shared" si="39"/>
        <v>15234.363918259201</v>
      </c>
      <c r="DA21" s="40">
        <f t="shared" si="40"/>
        <v>15234.363918259201</v>
      </c>
      <c r="DB21" s="40">
        <f t="shared" si="40"/>
        <v>15234.363918259201</v>
      </c>
      <c r="DC21" s="40">
        <f t="shared" si="40"/>
        <v>15234.363918259201</v>
      </c>
      <c r="DD21" s="40">
        <f t="shared" si="40"/>
        <v>15234.363918259201</v>
      </c>
      <c r="DE21" s="40">
        <f t="shared" si="40"/>
        <v>15234.363918259201</v>
      </c>
      <c r="DF21" s="40">
        <f t="shared" si="40"/>
        <v>15234.363918259201</v>
      </c>
      <c r="DG21" s="40">
        <f t="shared" si="40"/>
        <v>15234.363918259201</v>
      </c>
      <c r="DH21" s="40">
        <f t="shared" si="40"/>
        <v>15234.363918259201</v>
      </c>
      <c r="DI21" s="40">
        <f t="shared" si="40"/>
        <v>15234.363918259201</v>
      </c>
      <c r="DJ21" s="40">
        <f t="shared" si="40"/>
        <v>15234.363918259201</v>
      </c>
      <c r="DK21" s="40">
        <f t="shared" si="41"/>
        <v>15234.363918259201</v>
      </c>
      <c r="DL21" s="40">
        <f t="shared" si="41"/>
        <v>15843.73847498957</v>
      </c>
      <c r="DM21" s="40">
        <f t="shared" si="41"/>
        <v>15843.73847498957</v>
      </c>
      <c r="DN21" s="40">
        <f t="shared" si="41"/>
        <v>15843.73847498957</v>
      </c>
      <c r="DO21" s="40">
        <f t="shared" si="41"/>
        <v>15843.73847498957</v>
      </c>
      <c r="DP21" s="40">
        <f t="shared" si="41"/>
        <v>15843.73847498957</v>
      </c>
      <c r="DQ21" s="40">
        <f t="shared" si="41"/>
        <v>15843.73847498957</v>
      </c>
      <c r="DR21" s="40">
        <f t="shared" si="41"/>
        <v>15843.73847498957</v>
      </c>
      <c r="DS21" s="40">
        <f t="shared" si="41"/>
        <v>15843.73847498957</v>
      </c>
      <c r="DT21" s="40">
        <f t="shared" si="41"/>
        <v>15843.73847498957</v>
      </c>
      <c r="DU21" s="40">
        <f t="shared" si="42"/>
        <v>15843.73847498957</v>
      </c>
      <c r="DV21" s="40">
        <f t="shared" si="42"/>
        <v>15843.73847498957</v>
      </c>
      <c r="DW21" s="40">
        <f t="shared" si="42"/>
        <v>15843.73847498957</v>
      </c>
      <c r="DX21" s="40">
        <f t="shared" si="42"/>
        <v>16477.488013989154</v>
      </c>
      <c r="DY21" s="40">
        <f t="shared" si="42"/>
        <v>16477.488013989154</v>
      </c>
      <c r="DZ21" s="40">
        <f t="shared" si="42"/>
        <v>16477.488013989154</v>
      </c>
      <c r="EA21" s="40">
        <f t="shared" si="42"/>
        <v>16477.488013989154</v>
      </c>
      <c r="EB21" s="40">
        <f t="shared" si="42"/>
        <v>16477.488013989154</v>
      </c>
      <c r="EC21" s="40">
        <f t="shared" si="42"/>
        <v>16477.488013989154</v>
      </c>
      <c r="ED21" s="40">
        <f t="shared" si="42"/>
        <v>16477.488013989154</v>
      </c>
      <c r="EE21" s="40">
        <f t="shared" si="43"/>
        <v>16477.488013989154</v>
      </c>
      <c r="EF21" s="40">
        <f t="shared" si="43"/>
        <v>16477.488013989154</v>
      </c>
      <c r="EG21" s="40">
        <f t="shared" si="43"/>
        <v>16477.488013989154</v>
      </c>
      <c r="EH21" s="40">
        <f t="shared" si="43"/>
        <v>16477.488013989154</v>
      </c>
      <c r="EI21" s="40">
        <f t="shared" si="43"/>
        <v>16477.488013989154</v>
      </c>
      <c r="EJ21" s="40">
        <f t="shared" si="43"/>
        <v>17136.587534548718</v>
      </c>
      <c r="EK21" s="40">
        <f t="shared" si="43"/>
        <v>17136.587534548718</v>
      </c>
      <c r="EL21" s="40">
        <f t="shared" si="43"/>
        <v>17136.587534548718</v>
      </c>
      <c r="EM21" s="40">
        <f t="shared" si="43"/>
        <v>17136.587534548718</v>
      </c>
      <c r="EN21" s="40">
        <f t="shared" si="43"/>
        <v>17136.587534548718</v>
      </c>
    </row>
    <row r="22" spans="2:144" x14ac:dyDescent="0.35">
      <c r="B22" s="37" t="s">
        <v>291</v>
      </c>
      <c r="C22" s="19" t="s">
        <v>292</v>
      </c>
      <c r="D22" s="20">
        <v>14000</v>
      </c>
      <c r="E22" s="18">
        <f t="shared" si="8"/>
        <v>1.154353562005277E-2</v>
      </c>
      <c r="F22" s="38">
        <v>40087</v>
      </c>
      <c r="G22" s="38">
        <v>46388</v>
      </c>
      <c r="H22" s="32">
        <v>8.42</v>
      </c>
      <c r="I22" s="28">
        <f t="shared" si="9"/>
        <v>117880</v>
      </c>
      <c r="J22" s="26">
        <v>0.04</v>
      </c>
      <c r="K22" s="37" t="s">
        <v>266</v>
      </c>
      <c r="L22" s="32">
        <v>13</v>
      </c>
      <c r="M22" s="37" t="s">
        <v>267</v>
      </c>
      <c r="N22" s="39">
        <f t="shared" si="10"/>
        <v>-170</v>
      </c>
      <c r="O22" s="39">
        <f t="shared" si="11"/>
        <v>37</v>
      </c>
      <c r="P22" s="39">
        <f t="shared" si="12"/>
        <v>38</v>
      </c>
      <c r="Q22" s="39">
        <f t="shared" si="13"/>
        <v>3</v>
      </c>
      <c r="R22" s="39">
        <f t="shared" si="14"/>
        <v>41</v>
      </c>
      <c r="S22" s="39">
        <f t="shared" si="15"/>
        <v>1</v>
      </c>
      <c r="T22" s="39">
        <f t="shared" si="16"/>
        <v>42</v>
      </c>
      <c r="U22" s="39">
        <f t="shared" si="17"/>
        <v>4</v>
      </c>
      <c r="V22" s="39">
        <f t="shared" si="18"/>
        <v>33250</v>
      </c>
      <c r="W22" s="39">
        <f>IF(D22="",0,Retention_Ratio*LC_Ren*LeaseTermYrs*'Rent Roll'!D22*'Rent Roll'!X22+(1-Retention_Ratio)*LC_Ren*LeaseTermYrs*'Rent Roll'!D22*'Rent Roll'!X22)</f>
        <v>31601.019449999993</v>
      </c>
      <c r="X22" s="25">
        <f t="shared" si="19"/>
        <v>15.048104499999999</v>
      </c>
      <c r="Y22" s="40">
        <f t="shared" si="32"/>
        <v>9823.3333333333339</v>
      </c>
      <c r="Z22" s="40">
        <f t="shared" si="32"/>
        <v>9823.3333333333339</v>
      </c>
      <c r="AA22" s="40">
        <f t="shared" si="32"/>
        <v>9823.3333333333339</v>
      </c>
      <c r="AB22" s="40">
        <f t="shared" si="32"/>
        <v>9823.3333333333339</v>
      </c>
      <c r="AC22" s="40">
        <f t="shared" si="32"/>
        <v>9823.3333333333339</v>
      </c>
      <c r="AD22" s="40">
        <f t="shared" si="32"/>
        <v>9823.3333333333339</v>
      </c>
      <c r="AE22" s="40">
        <f t="shared" si="32"/>
        <v>9823.3333333333339</v>
      </c>
      <c r="AF22" s="40">
        <f t="shared" si="32"/>
        <v>9823.3333333333339</v>
      </c>
      <c r="AG22" s="40">
        <f t="shared" si="32"/>
        <v>9823.3333333333339</v>
      </c>
      <c r="AH22" s="40">
        <f t="shared" si="32"/>
        <v>9823.3333333333339</v>
      </c>
      <c r="AI22" s="40">
        <f t="shared" si="33"/>
        <v>9823.3333333333339</v>
      </c>
      <c r="AJ22" s="40">
        <f t="shared" si="33"/>
        <v>9823.3333333333339</v>
      </c>
      <c r="AK22" s="40">
        <f t="shared" si="33"/>
        <v>10216.266666666666</v>
      </c>
      <c r="AL22" s="40">
        <f t="shared" si="33"/>
        <v>10216.266666666666</v>
      </c>
      <c r="AM22" s="40">
        <f t="shared" si="33"/>
        <v>10216.266666666666</v>
      </c>
      <c r="AN22" s="40">
        <f t="shared" si="33"/>
        <v>10216.266666666666</v>
      </c>
      <c r="AO22" s="40">
        <f t="shared" si="33"/>
        <v>10216.266666666666</v>
      </c>
      <c r="AP22" s="40">
        <f t="shared" si="33"/>
        <v>10216.266666666666</v>
      </c>
      <c r="AQ22" s="40">
        <f t="shared" si="33"/>
        <v>10216.266666666666</v>
      </c>
      <c r="AR22" s="40">
        <f t="shared" si="33"/>
        <v>10216.266666666666</v>
      </c>
      <c r="AS22" s="40">
        <f t="shared" si="34"/>
        <v>10216.266666666666</v>
      </c>
      <c r="AT22" s="40">
        <f t="shared" si="34"/>
        <v>10216.266666666666</v>
      </c>
      <c r="AU22" s="40">
        <f t="shared" si="34"/>
        <v>10216.266666666666</v>
      </c>
      <c r="AV22" s="40">
        <f t="shared" si="34"/>
        <v>10216.266666666666</v>
      </c>
      <c r="AW22" s="40">
        <f t="shared" si="34"/>
        <v>10624.917333333335</v>
      </c>
      <c r="AX22" s="40">
        <f t="shared" si="34"/>
        <v>10624.917333333335</v>
      </c>
      <c r="AY22" s="40">
        <f t="shared" si="34"/>
        <v>10624.917333333335</v>
      </c>
      <c r="AZ22" s="40">
        <f t="shared" si="34"/>
        <v>10624.917333333335</v>
      </c>
      <c r="BA22" s="40">
        <f t="shared" si="34"/>
        <v>10624.917333333335</v>
      </c>
      <c r="BB22" s="40">
        <f t="shared" si="34"/>
        <v>10624.917333333335</v>
      </c>
      <c r="BC22" s="40">
        <f t="shared" si="35"/>
        <v>10624.917333333335</v>
      </c>
      <c r="BD22" s="40">
        <f t="shared" si="35"/>
        <v>10624.917333333335</v>
      </c>
      <c r="BE22" s="40">
        <f t="shared" si="35"/>
        <v>10624.917333333335</v>
      </c>
      <c r="BF22" s="40">
        <f t="shared" si="35"/>
        <v>10624.917333333335</v>
      </c>
      <c r="BG22" s="40">
        <f t="shared" si="35"/>
        <v>10624.917333333335</v>
      </c>
      <c r="BH22" s="40">
        <f t="shared" si="35"/>
        <v>10624.917333333335</v>
      </c>
      <c r="BI22" s="40">
        <f t="shared" si="35"/>
        <v>11049.914026666667</v>
      </c>
      <c r="BJ22" s="40">
        <f t="shared" si="35"/>
        <v>0</v>
      </c>
      <c r="BK22" s="40">
        <f t="shared" si="35"/>
        <v>0</v>
      </c>
      <c r="BL22" s="40">
        <f t="shared" si="35"/>
        <v>0</v>
      </c>
      <c r="BM22" s="40">
        <f t="shared" si="36"/>
        <v>0</v>
      </c>
      <c r="BN22" s="40">
        <f t="shared" si="36"/>
        <v>17556.121916666667</v>
      </c>
      <c r="BO22" s="40">
        <f t="shared" si="36"/>
        <v>17556.121916666667</v>
      </c>
      <c r="BP22" s="40">
        <f t="shared" si="36"/>
        <v>17556.121916666667</v>
      </c>
      <c r="BQ22" s="40">
        <f t="shared" si="36"/>
        <v>17556.121916666667</v>
      </c>
      <c r="BR22" s="40">
        <f t="shared" si="36"/>
        <v>17556.121916666667</v>
      </c>
      <c r="BS22" s="40">
        <f t="shared" si="36"/>
        <v>17556.121916666667</v>
      </c>
      <c r="BT22" s="40">
        <f t="shared" si="36"/>
        <v>17556.121916666667</v>
      </c>
      <c r="BU22" s="40">
        <f t="shared" si="36"/>
        <v>17556.121916666667</v>
      </c>
      <c r="BV22" s="40">
        <f t="shared" si="36"/>
        <v>17556.121916666667</v>
      </c>
      <c r="BW22" s="40">
        <f t="shared" si="37"/>
        <v>17556.121916666667</v>
      </c>
      <c r="BX22" s="40">
        <f t="shared" si="37"/>
        <v>17556.121916666667</v>
      </c>
      <c r="BY22" s="40">
        <f t="shared" si="37"/>
        <v>18258.366793333331</v>
      </c>
      <c r="BZ22" s="40">
        <f t="shared" si="37"/>
        <v>18258.366793333331</v>
      </c>
      <c r="CA22" s="40">
        <f t="shared" si="37"/>
        <v>18258.366793333331</v>
      </c>
      <c r="CB22" s="40">
        <f t="shared" si="37"/>
        <v>18258.366793333331</v>
      </c>
      <c r="CC22" s="40">
        <f t="shared" si="37"/>
        <v>18258.366793333331</v>
      </c>
      <c r="CD22" s="40">
        <f t="shared" si="37"/>
        <v>18258.366793333331</v>
      </c>
      <c r="CE22" s="40">
        <f t="shared" si="37"/>
        <v>18258.366793333331</v>
      </c>
      <c r="CF22" s="40">
        <f t="shared" si="37"/>
        <v>18258.366793333331</v>
      </c>
      <c r="CG22" s="40">
        <f t="shared" si="38"/>
        <v>18258.366793333331</v>
      </c>
      <c r="CH22" s="40">
        <f t="shared" si="38"/>
        <v>18258.366793333331</v>
      </c>
      <c r="CI22" s="40">
        <f t="shared" si="38"/>
        <v>18258.366793333331</v>
      </c>
      <c r="CJ22" s="40">
        <f t="shared" si="38"/>
        <v>18258.366793333331</v>
      </c>
      <c r="CK22" s="40">
        <f t="shared" si="38"/>
        <v>18988.701465066668</v>
      </c>
      <c r="CL22" s="40">
        <f t="shared" si="38"/>
        <v>18988.701465066668</v>
      </c>
      <c r="CM22" s="40">
        <f t="shared" si="38"/>
        <v>18988.701465066668</v>
      </c>
      <c r="CN22" s="40">
        <f t="shared" si="38"/>
        <v>18988.701465066668</v>
      </c>
      <c r="CO22" s="40">
        <f t="shared" si="38"/>
        <v>18988.701465066668</v>
      </c>
      <c r="CP22" s="40">
        <f t="shared" si="38"/>
        <v>18988.701465066668</v>
      </c>
      <c r="CQ22" s="40">
        <f t="shared" si="39"/>
        <v>18988.701465066668</v>
      </c>
      <c r="CR22" s="40">
        <f t="shared" si="39"/>
        <v>18988.701465066668</v>
      </c>
      <c r="CS22" s="40">
        <f t="shared" si="39"/>
        <v>18988.701465066668</v>
      </c>
      <c r="CT22" s="40">
        <f t="shared" si="39"/>
        <v>18988.701465066668</v>
      </c>
      <c r="CU22" s="40">
        <f t="shared" si="39"/>
        <v>18988.701465066668</v>
      </c>
      <c r="CV22" s="40">
        <f t="shared" si="39"/>
        <v>18988.701465066668</v>
      </c>
      <c r="CW22" s="40">
        <f t="shared" si="39"/>
        <v>19748.249523669332</v>
      </c>
      <c r="CX22" s="40">
        <f t="shared" si="39"/>
        <v>19748.249523669332</v>
      </c>
      <c r="CY22" s="40">
        <f t="shared" si="39"/>
        <v>19748.249523669332</v>
      </c>
      <c r="CZ22" s="40">
        <f t="shared" si="39"/>
        <v>19748.249523669332</v>
      </c>
      <c r="DA22" s="40">
        <f t="shared" si="40"/>
        <v>19748.249523669332</v>
      </c>
      <c r="DB22" s="40">
        <f t="shared" si="40"/>
        <v>19748.249523669332</v>
      </c>
      <c r="DC22" s="40">
        <f t="shared" si="40"/>
        <v>19748.249523669332</v>
      </c>
      <c r="DD22" s="40">
        <f t="shared" si="40"/>
        <v>19748.249523669332</v>
      </c>
      <c r="DE22" s="40">
        <f t="shared" si="40"/>
        <v>19748.249523669332</v>
      </c>
      <c r="DF22" s="40">
        <f t="shared" si="40"/>
        <v>19748.249523669332</v>
      </c>
      <c r="DG22" s="40">
        <f t="shared" si="40"/>
        <v>19748.249523669332</v>
      </c>
      <c r="DH22" s="40">
        <f t="shared" si="40"/>
        <v>19748.249523669332</v>
      </c>
      <c r="DI22" s="40">
        <f t="shared" si="40"/>
        <v>20538.17950461611</v>
      </c>
      <c r="DJ22" s="40">
        <f t="shared" si="40"/>
        <v>20538.17950461611</v>
      </c>
      <c r="DK22" s="40">
        <f t="shared" si="41"/>
        <v>20538.17950461611</v>
      </c>
      <c r="DL22" s="40">
        <f t="shared" si="41"/>
        <v>20538.17950461611</v>
      </c>
      <c r="DM22" s="40">
        <f t="shared" si="41"/>
        <v>20538.17950461611</v>
      </c>
      <c r="DN22" s="40">
        <f t="shared" si="41"/>
        <v>20538.17950461611</v>
      </c>
      <c r="DO22" s="40">
        <f t="shared" si="41"/>
        <v>20538.17950461611</v>
      </c>
      <c r="DP22" s="40">
        <f t="shared" si="41"/>
        <v>20538.17950461611</v>
      </c>
      <c r="DQ22" s="40">
        <f t="shared" si="41"/>
        <v>20538.17950461611</v>
      </c>
      <c r="DR22" s="40">
        <f t="shared" si="41"/>
        <v>20538.17950461611</v>
      </c>
      <c r="DS22" s="40">
        <f t="shared" si="41"/>
        <v>20538.17950461611</v>
      </c>
      <c r="DT22" s="40">
        <f t="shared" si="41"/>
        <v>20538.17950461611</v>
      </c>
      <c r="DU22" s="40">
        <f t="shared" si="42"/>
        <v>21359.706684800756</v>
      </c>
      <c r="DV22" s="40">
        <f t="shared" si="42"/>
        <v>21359.706684800756</v>
      </c>
      <c r="DW22" s="40">
        <f t="shared" si="42"/>
        <v>21359.706684800756</v>
      </c>
      <c r="DX22" s="40">
        <f t="shared" si="42"/>
        <v>21359.706684800756</v>
      </c>
      <c r="DY22" s="40">
        <f t="shared" si="42"/>
        <v>21359.706684800756</v>
      </c>
      <c r="DZ22" s="40">
        <f t="shared" si="42"/>
        <v>21359.706684800756</v>
      </c>
      <c r="EA22" s="40">
        <f t="shared" si="42"/>
        <v>21359.706684800756</v>
      </c>
      <c r="EB22" s="40">
        <f t="shared" si="42"/>
        <v>21359.706684800756</v>
      </c>
      <c r="EC22" s="40">
        <f t="shared" si="42"/>
        <v>21359.706684800756</v>
      </c>
      <c r="ED22" s="40">
        <f t="shared" si="42"/>
        <v>21359.706684800756</v>
      </c>
      <c r="EE22" s="40">
        <f t="shared" si="43"/>
        <v>21359.706684800756</v>
      </c>
      <c r="EF22" s="40">
        <f t="shared" si="43"/>
        <v>21359.706684800756</v>
      </c>
      <c r="EG22" s="40">
        <f t="shared" si="43"/>
        <v>22214.094952192787</v>
      </c>
      <c r="EH22" s="40">
        <f t="shared" si="43"/>
        <v>22214.094952192787</v>
      </c>
      <c r="EI22" s="40">
        <f t="shared" si="43"/>
        <v>22214.094952192787</v>
      </c>
      <c r="EJ22" s="40">
        <f t="shared" si="43"/>
        <v>22214.094952192787</v>
      </c>
      <c r="EK22" s="40">
        <f t="shared" si="43"/>
        <v>22214.094952192787</v>
      </c>
      <c r="EL22" s="40">
        <f t="shared" si="43"/>
        <v>22214.094952192787</v>
      </c>
      <c r="EM22" s="40">
        <f t="shared" si="43"/>
        <v>22214.094952192787</v>
      </c>
      <c r="EN22" s="40">
        <f t="shared" si="43"/>
        <v>22214.094952192787</v>
      </c>
    </row>
    <row r="23" spans="2:144" x14ac:dyDescent="0.35">
      <c r="B23" s="37" t="s">
        <v>293</v>
      </c>
      <c r="C23" s="19" t="s">
        <v>294</v>
      </c>
      <c r="D23" s="20">
        <v>9000</v>
      </c>
      <c r="E23" s="18">
        <f t="shared" si="8"/>
        <v>7.4208443271767807E-3</v>
      </c>
      <c r="F23" s="38">
        <v>44440</v>
      </c>
      <c r="G23" s="38">
        <v>45536</v>
      </c>
      <c r="H23" s="32">
        <v>7.96</v>
      </c>
      <c r="I23" s="28">
        <f t="shared" si="9"/>
        <v>71640</v>
      </c>
      <c r="J23" s="26">
        <v>0.03</v>
      </c>
      <c r="K23" s="37" t="s">
        <v>266</v>
      </c>
      <c r="L23" s="32">
        <v>13</v>
      </c>
      <c r="M23" s="37" t="s">
        <v>267</v>
      </c>
      <c r="N23" s="39">
        <f t="shared" si="10"/>
        <v>-27</v>
      </c>
      <c r="O23" s="39">
        <f t="shared" si="11"/>
        <v>9</v>
      </c>
      <c r="P23" s="39">
        <f t="shared" si="12"/>
        <v>10</v>
      </c>
      <c r="Q23" s="39">
        <f t="shared" si="13"/>
        <v>3</v>
      </c>
      <c r="R23" s="39">
        <f t="shared" si="14"/>
        <v>13</v>
      </c>
      <c r="S23" s="39">
        <f t="shared" si="15"/>
        <v>1</v>
      </c>
      <c r="T23" s="39">
        <f t="shared" si="16"/>
        <v>14</v>
      </c>
      <c r="U23" s="39">
        <f t="shared" si="17"/>
        <v>2</v>
      </c>
      <c r="V23" s="39">
        <f t="shared" si="18"/>
        <v>21375</v>
      </c>
      <c r="W23" s="39">
        <f>IF(D23="",0,Retention_Ratio*LC_Ren*LeaseTermYrs*'Rent Roll'!D23*'Rent Roll'!X23+(1-Retention_Ratio)*LC_Ren*LeaseTermYrs*'Rent Roll'!D23*'Rent Roll'!X23)</f>
        <v>18603</v>
      </c>
      <c r="X23" s="25">
        <f t="shared" si="19"/>
        <v>13.780000000000001</v>
      </c>
      <c r="Y23" s="40">
        <f t="shared" si="32"/>
        <v>5970</v>
      </c>
      <c r="Z23" s="40">
        <f t="shared" si="32"/>
        <v>5970</v>
      </c>
      <c r="AA23" s="40">
        <f t="shared" si="32"/>
        <v>5970</v>
      </c>
      <c r="AB23" s="40">
        <f t="shared" si="32"/>
        <v>5970</v>
      </c>
      <c r="AC23" s="40">
        <f t="shared" si="32"/>
        <v>5970</v>
      </c>
      <c r="AD23" s="40">
        <f t="shared" si="32"/>
        <v>5970</v>
      </c>
      <c r="AE23" s="40">
        <f t="shared" si="32"/>
        <v>5970</v>
      </c>
      <c r="AF23" s="40">
        <f t="shared" si="32"/>
        <v>5970</v>
      </c>
      <c r="AG23" s="40">
        <f t="shared" si="32"/>
        <v>5970</v>
      </c>
      <c r="AH23" s="40">
        <f t="shared" si="32"/>
        <v>0</v>
      </c>
      <c r="AI23" s="40">
        <f t="shared" si="33"/>
        <v>0</v>
      </c>
      <c r="AJ23" s="40">
        <f t="shared" si="33"/>
        <v>0</v>
      </c>
      <c r="AK23" s="40">
        <f t="shared" si="33"/>
        <v>0</v>
      </c>
      <c r="AL23" s="40">
        <f t="shared" si="33"/>
        <v>10335.000000000002</v>
      </c>
      <c r="AM23" s="40">
        <f t="shared" si="33"/>
        <v>10335.000000000002</v>
      </c>
      <c r="AN23" s="40">
        <f t="shared" si="33"/>
        <v>10335.000000000002</v>
      </c>
      <c r="AO23" s="40">
        <f t="shared" si="33"/>
        <v>10335.000000000002</v>
      </c>
      <c r="AP23" s="40">
        <f t="shared" si="33"/>
        <v>10335.000000000002</v>
      </c>
      <c r="AQ23" s="40">
        <f t="shared" si="33"/>
        <v>10335.000000000002</v>
      </c>
      <c r="AR23" s="40">
        <f t="shared" si="33"/>
        <v>10335.000000000002</v>
      </c>
      <c r="AS23" s="40">
        <f t="shared" si="34"/>
        <v>10335.000000000002</v>
      </c>
      <c r="AT23" s="40">
        <f t="shared" si="34"/>
        <v>10335.000000000002</v>
      </c>
      <c r="AU23" s="40">
        <f t="shared" si="34"/>
        <v>10335.000000000002</v>
      </c>
      <c r="AV23" s="40">
        <f t="shared" si="34"/>
        <v>10335.000000000002</v>
      </c>
      <c r="AW23" s="40">
        <f t="shared" si="34"/>
        <v>10645.050000000001</v>
      </c>
      <c r="AX23" s="40">
        <f t="shared" si="34"/>
        <v>10645.050000000001</v>
      </c>
      <c r="AY23" s="40">
        <f t="shared" si="34"/>
        <v>10645.050000000001</v>
      </c>
      <c r="AZ23" s="40">
        <f t="shared" si="34"/>
        <v>10645.050000000001</v>
      </c>
      <c r="BA23" s="40">
        <f t="shared" si="34"/>
        <v>10645.050000000001</v>
      </c>
      <c r="BB23" s="40">
        <f t="shared" si="34"/>
        <v>10645.050000000001</v>
      </c>
      <c r="BC23" s="40">
        <f t="shared" si="35"/>
        <v>10645.050000000001</v>
      </c>
      <c r="BD23" s="40">
        <f t="shared" si="35"/>
        <v>10645.050000000001</v>
      </c>
      <c r="BE23" s="40">
        <f t="shared" si="35"/>
        <v>10645.050000000001</v>
      </c>
      <c r="BF23" s="40">
        <f t="shared" si="35"/>
        <v>10645.050000000001</v>
      </c>
      <c r="BG23" s="40">
        <f t="shared" si="35"/>
        <v>10645.050000000001</v>
      </c>
      <c r="BH23" s="40">
        <f t="shared" si="35"/>
        <v>10645.050000000001</v>
      </c>
      <c r="BI23" s="40">
        <f t="shared" si="35"/>
        <v>10964.4015</v>
      </c>
      <c r="BJ23" s="40">
        <f t="shared" si="35"/>
        <v>10964.4015</v>
      </c>
      <c r="BK23" s="40">
        <f t="shared" si="35"/>
        <v>10964.4015</v>
      </c>
      <c r="BL23" s="40">
        <f t="shared" si="35"/>
        <v>10964.4015</v>
      </c>
      <c r="BM23" s="40">
        <f t="shared" si="36"/>
        <v>10964.4015</v>
      </c>
      <c r="BN23" s="40">
        <f t="shared" si="36"/>
        <v>10964.4015</v>
      </c>
      <c r="BO23" s="40">
        <f t="shared" si="36"/>
        <v>10964.4015</v>
      </c>
      <c r="BP23" s="40">
        <f t="shared" si="36"/>
        <v>10964.4015</v>
      </c>
      <c r="BQ23" s="40">
        <f t="shared" si="36"/>
        <v>10964.4015</v>
      </c>
      <c r="BR23" s="40">
        <f t="shared" si="36"/>
        <v>10964.4015</v>
      </c>
      <c r="BS23" s="40">
        <f t="shared" si="36"/>
        <v>10964.4015</v>
      </c>
      <c r="BT23" s="40">
        <f t="shared" si="36"/>
        <v>10964.4015</v>
      </c>
      <c r="BU23" s="40">
        <f t="shared" si="36"/>
        <v>11293.333545000001</v>
      </c>
      <c r="BV23" s="40">
        <f t="shared" si="36"/>
        <v>11293.333545000001</v>
      </c>
      <c r="BW23" s="40">
        <f t="shared" si="37"/>
        <v>11293.333545000001</v>
      </c>
      <c r="BX23" s="40">
        <f t="shared" si="37"/>
        <v>11293.333545000001</v>
      </c>
      <c r="BY23" s="40">
        <f t="shared" si="37"/>
        <v>11293.333545000001</v>
      </c>
      <c r="BZ23" s="40">
        <f t="shared" si="37"/>
        <v>11293.333545000001</v>
      </c>
      <c r="CA23" s="40">
        <f t="shared" si="37"/>
        <v>11293.333545000001</v>
      </c>
      <c r="CB23" s="40">
        <f t="shared" si="37"/>
        <v>11293.333545000001</v>
      </c>
      <c r="CC23" s="40">
        <f t="shared" si="37"/>
        <v>11293.333545000001</v>
      </c>
      <c r="CD23" s="40">
        <f t="shared" si="37"/>
        <v>11293.333545000001</v>
      </c>
      <c r="CE23" s="40">
        <f t="shared" si="37"/>
        <v>11293.333545000001</v>
      </c>
      <c r="CF23" s="40">
        <f t="shared" si="37"/>
        <v>11293.333545000001</v>
      </c>
      <c r="CG23" s="40">
        <f t="shared" si="38"/>
        <v>11632.133551350002</v>
      </c>
      <c r="CH23" s="40">
        <f t="shared" si="38"/>
        <v>11632.133551350002</v>
      </c>
      <c r="CI23" s="40">
        <f t="shared" si="38"/>
        <v>11632.133551350002</v>
      </c>
      <c r="CJ23" s="40">
        <f t="shared" si="38"/>
        <v>11632.133551350002</v>
      </c>
      <c r="CK23" s="40">
        <f t="shared" si="38"/>
        <v>11632.133551350002</v>
      </c>
      <c r="CL23" s="40">
        <f t="shared" si="38"/>
        <v>11632.133551350002</v>
      </c>
      <c r="CM23" s="40">
        <f t="shared" si="38"/>
        <v>11632.133551350002</v>
      </c>
      <c r="CN23" s="40">
        <f t="shared" si="38"/>
        <v>11632.133551350002</v>
      </c>
      <c r="CO23" s="40">
        <f t="shared" si="38"/>
        <v>11632.133551350002</v>
      </c>
      <c r="CP23" s="40">
        <f t="shared" si="38"/>
        <v>11632.133551350002</v>
      </c>
      <c r="CQ23" s="40">
        <f t="shared" si="39"/>
        <v>11632.133551350002</v>
      </c>
      <c r="CR23" s="40">
        <f t="shared" si="39"/>
        <v>11632.133551350002</v>
      </c>
      <c r="CS23" s="40">
        <f t="shared" si="39"/>
        <v>11981.0975578905</v>
      </c>
      <c r="CT23" s="40">
        <f t="shared" si="39"/>
        <v>11981.0975578905</v>
      </c>
      <c r="CU23" s="40">
        <f t="shared" si="39"/>
        <v>11981.0975578905</v>
      </c>
      <c r="CV23" s="40">
        <f t="shared" si="39"/>
        <v>11981.0975578905</v>
      </c>
      <c r="CW23" s="40">
        <f t="shared" si="39"/>
        <v>11981.0975578905</v>
      </c>
      <c r="CX23" s="40">
        <f t="shared" si="39"/>
        <v>11981.0975578905</v>
      </c>
      <c r="CY23" s="40">
        <f t="shared" si="39"/>
        <v>11981.0975578905</v>
      </c>
      <c r="CZ23" s="40">
        <f t="shared" si="39"/>
        <v>11981.0975578905</v>
      </c>
      <c r="DA23" s="40">
        <f t="shared" si="40"/>
        <v>11981.0975578905</v>
      </c>
      <c r="DB23" s="40">
        <f t="shared" si="40"/>
        <v>11981.0975578905</v>
      </c>
      <c r="DC23" s="40">
        <f t="shared" si="40"/>
        <v>11981.0975578905</v>
      </c>
      <c r="DD23" s="40">
        <f t="shared" si="40"/>
        <v>11981.0975578905</v>
      </c>
      <c r="DE23" s="40">
        <f t="shared" si="40"/>
        <v>12340.530484627214</v>
      </c>
      <c r="DF23" s="40">
        <f t="shared" si="40"/>
        <v>12340.530484627214</v>
      </c>
      <c r="DG23" s="40">
        <f t="shared" si="40"/>
        <v>12340.530484627214</v>
      </c>
      <c r="DH23" s="40">
        <f t="shared" si="40"/>
        <v>12340.530484627214</v>
      </c>
      <c r="DI23" s="40">
        <f t="shared" si="40"/>
        <v>12340.530484627214</v>
      </c>
      <c r="DJ23" s="40">
        <f t="shared" si="40"/>
        <v>12340.530484627214</v>
      </c>
      <c r="DK23" s="40">
        <f t="shared" si="41"/>
        <v>12340.530484627214</v>
      </c>
      <c r="DL23" s="40">
        <f t="shared" si="41"/>
        <v>12340.530484627214</v>
      </c>
      <c r="DM23" s="40">
        <f t="shared" si="41"/>
        <v>12340.530484627214</v>
      </c>
      <c r="DN23" s="40">
        <f t="shared" si="41"/>
        <v>12340.530484627214</v>
      </c>
      <c r="DO23" s="40">
        <f t="shared" si="41"/>
        <v>12340.530484627214</v>
      </c>
      <c r="DP23" s="40">
        <f t="shared" si="41"/>
        <v>12340.530484627214</v>
      </c>
      <c r="DQ23" s="40">
        <f t="shared" si="41"/>
        <v>12710.746399166033</v>
      </c>
      <c r="DR23" s="40">
        <f t="shared" si="41"/>
        <v>12710.746399166033</v>
      </c>
      <c r="DS23" s="40">
        <f t="shared" si="41"/>
        <v>12710.746399166033</v>
      </c>
      <c r="DT23" s="40">
        <f t="shared" si="41"/>
        <v>12710.746399166033</v>
      </c>
      <c r="DU23" s="40">
        <f t="shared" si="42"/>
        <v>12710.746399166033</v>
      </c>
      <c r="DV23" s="40">
        <f t="shared" si="42"/>
        <v>12710.746399166033</v>
      </c>
      <c r="DW23" s="40">
        <f t="shared" si="42"/>
        <v>12710.746399166033</v>
      </c>
      <c r="DX23" s="40">
        <f t="shared" si="42"/>
        <v>12710.746399166033</v>
      </c>
      <c r="DY23" s="40">
        <f t="shared" si="42"/>
        <v>12710.746399166033</v>
      </c>
      <c r="DZ23" s="40">
        <f t="shared" si="42"/>
        <v>12710.746399166033</v>
      </c>
      <c r="EA23" s="40">
        <f t="shared" si="42"/>
        <v>12710.746399166033</v>
      </c>
      <c r="EB23" s="40">
        <f t="shared" si="42"/>
        <v>12710.746399166033</v>
      </c>
      <c r="EC23" s="40">
        <f t="shared" si="42"/>
        <v>13092.068791141013</v>
      </c>
      <c r="ED23" s="40">
        <f t="shared" si="42"/>
        <v>13092.068791141013</v>
      </c>
      <c r="EE23" s="40">
        <f t="shared" si="43"/>
        <v>13092.068791141013</v>
      </c>
      <c r="EF23" s="40">
        <f t="shared" si="43"/>
        <v>13092.068791141013</v>
      </c>
      <c r="EG23" s="40">
        <f t="shared" si="43"/>
        <v>13092.068791141013</v>
      </c>
      <c r="EH23" s="40">
        <f t="shared" si="43"/>
        <v>13092.068791141013</v>
      </c>
      <c r="EI23" s="40">
        <f t="shared" si="43"/>
        <v>13092.068791141013</v>
      </c>
      <c r="EJ23" s="40">
        <f t="shared" si="43"/>
        <v>13092.068791141013</v>
      </c>
      <c r="EK23" s="40">
        <f t="shared" si="43"/>
        <v>13092.068791141013</v>
      </c>
      <c r="EL23" s="40">
        <f t="shared" si="43"/>
        <v>13092.068791141013</v>
      </c>
      <c r="EM23" s="40">
        <f t="shared" si="43"/>
        <v>13092.068791141013</v>
      </c>
      <c r="EN23" s="40">
        <f t="shared" si="43"/>
        <v>13092.068791141013</v>
      </c>
    </row>
    <row r="24" spans="2:144" x14ac:dyDescent="0.35">
      <c r="B24" s="37" t="s">
        <v>295</v>
      </c>
      <c r="C24" s="19" t="s">
        <v>296</v>
      </c>
      <c r="D24" s="20">
        <v>16000</v>
      </c>
      <c r="E24" s="18">
        <f t="shared" si="8"/>
        <v>1.3192612137203167E-2</v>
      </c>
      <c r="F24" s="38">
        <v>42339</v>
      </c>
      <c r="G24" s="38">
        <v>45292</v>
      </c>
      <c r="H24" s="32">
        <v>7.69</v>
      </c>
      <c r="I24" s="28">
        <f t="shared" si="9"/>
        <v>123040</v>
      </c>
      <c r="J24" s="26">
        <v>0</v>
      </c>
      <c r="K24" s="37" t="s">
        <v>266</v>
      </c>
      <c r="L24" s="32">
        <v>13</v>
      </c>
      <c r="M24" s="37" t="s">
        <v>278</v>
      </c>
      <c r="N24" s="39">
        <f t="shared" si="10"/>
        <v>-96</v>
      </c>
      <c r="O24" s="39">
        <f t="shared" si="11"/>
        <v>1</v>
      </c>
      <c r="P24" s="39">
        <f t="shared" si="12"/>
        <v>2</v>
      </c>
      <c r="Q24" s="39">
        <f t="shared" si="13"/>
        <v>3</v>
      </c>
      <c r="R24" s="39">
        <f t="shared" si="14"/>
        <v>5</v>
      </c>
      <c r="S24" s="39">
        <f t="shared" si="15"/>
        <v>1</v>
      </c>
      <c r="T24" s="39">
        <f t="shared" si="16"/>
        <v>6</v>
      </c>
      <c r="U24" s="39">
        <f t="shared" si="17"/>
        <v>1</v>
      </c>
      <c r="V24" s="39">
        <f t="shared" si="18"/>
        <v>38000</v>
      </c>
      <c r="W24" s="39">
        <f>IF(D24="",0,Retention_Ratio*LC_Ren*LeaseTermYrs*'Rent Roll'!D24*'Rent Roll'!X24+(1-Retention_Ratio)*LC_Ren*LeaseTermYrs*'Rent Roll'!D24*'Rent Roll'!X24)</f>
        <v>31199.999999999996</v>
      </c>
      <c r="X24" s="25">
        <f t="shared" si="19"/>
        <v>13</v>
      </c>
      <c r="Y24" s="40">
        <f t="shared" si="32"/>
        <v>10253.333333333334</v>
      </c>
      <c r="Z24" s="40">
        <f t="shared" si="32"/>
        <v>0</v>
      </c>
      <c r="AA24" s="40">
        <f t="shared" si="32"/>
        <v>0</v>
      </c>
      <c r="AB24" s="40">
        <f t="shared" si="32"/>
        <v>0</v>
      </c>
      <c r="AC24" s="40">
        <f t="shared" si="32"/>
        <v>0</v>
      </c>
      <c r="AD24" s="40">
        <f t="shared" si="32"/>
        <v>17333.333333333332</v>
      </c>
      <c r="AE24" s="40">
        <f t="shared" si="32"/>
        <v>17333.333333333332</v>
      </c>
      <c r="AF24" s="40">
        <f t="shared" si="32"/>
        <v>17333.333333333332</v>
      </c>
      <c r="AG24" s="40">
        <f t="shared" si="32"/>
        <v>17333.333333333332</v>
      </c>
      <c r="AH24" s="40">
        <f t="shared" si="32"/>
        <v>17333.333333333332</v>
      </c>
      <c r="AI24" s="40">
        <f t="shared" si="33"/>
        <v>17333.333333333332</v>
      </c>
      <c r="AJ24" s="40">
        <f t="shared" si="33"/>
        <v>17333.333333333332</v>
      </c>
      <c r="AK24" s="40">
        <f t="shared" si="33"/>
        <v>17333.333333333332</v>
      </c>
      <c r="AL24" s="40">
        <f t="shared" si="33"/>
        <v>17333.333333333332</v>
      </c>
      <c r="AM24" s="40">
        <f t="shared" si="33"/>
        <v>17333.333333333332</v>
      </c>
      <c r="AN24" s="40">
        <f t="shared" si="33"/>
        <v>17333.333333333332</v>
      </c>
      <c r="AO24" s="40">
        <f t="shared" si="33"/>
        <v>17333.333333333332</v>
      </c>
      <c r="AP24" s="40">
        <f t="shared" si="33"/>
        <v>17333.333333333332</v>
      </c>
      <c r="AQ24" s="40">
        <f t="shared" si="33"/>
        <v>17333.333333333332</v>
      </c>
      <c r="AR24" s="40">
        <f t="shared" si="33"/>
        <v>17333.333333333332</v>
      </c>
      <c r="AS24" s="40">
        <f t="shared" si="34"/>
        <v>17333.333333333332</v>
      </c>
      <c r="AT24" s="40">
        <f t="shared" si="34"/>
        <v>17333.333333333332</v>
      </c>
      <c r="AU24" s="40">
        <f t="shared" si="34"/>
        <v>17333.333333333332</v>
      </c>
      <c r="AV24" s="40">
        <f t="shared" si="34"/>
        <v>17333.333333333332</v>
      </c>
      <c r="AW24" s="40">
        <f t="shared" si="34"/>
        <v>17333.333333333332</v>
      </c>
      <c r="AX24" s="40">
        <f t="shared" si="34"/>
        <v>17333.333333333332</v>
      </c>
      <c r="AY24" s="40">
        <f t="shared" si="34"/>
        <v>17333.333333333332</v>
      </c>
      <c r="AZ24" s="40">
        <f t="shared" si="34"/>
        <v>17333.333333333332</v>
      </c>
      <c r="BA24" s="40">
        <f t="shared" si="34"/>
        <v>17333.333333333332</v>
      </c>
      <c r="BB24" s="40">
        <f t="shared" si="34"/>
        <v>17333.333333333332</v>
      </c>
      <c r="BC24" s="40">
        <f t="shared" si="35"/>
        <v>17333.333333333332</v>
      </c>
      <c r="BD24" s="40">
        <f t="shared" si="35"/>
        <v>17333.333333333332</v>
      </c>
      <c r="BE24" s="40">
        <f t="shared" si="35"/>
        <v>17333.333333333332</v>
      </c>
      <c r="BF24" s="40">
        <f t="shared" si="35"/>
        <v>17333.333333333332</v>
      </c>
      <c r="BG24" s="40">
        <f t="shared" si="35"/>
        <v>17333.333333333332</v>
      </c>
      <c r="BH24" s="40">
        <f t="shared" si="35"/>
        <v>17333.333333333332</v>
      </c>
      <c r="BI24" s="40">
        <f t="shared" si="35"/>
        <v>17333.333333333332</v>
      </c>
      <c r="BJ24" s="40">
        <f t="shared" si="35"/>
        <v>17333.333333333332</v>
      </c>
      <c r="BK24" s="40">
        <f t="shared" si="35"/>
        <v>17333.333333333332</v>
      </c>
      <c r="BL24" s="40">
        <f t="shared" si="35"/>
        <v>17333.333333333332</v>
      </c>
      <c r="BM24" s="40">
        <f t="shared" si="36"/>
        <v>17333.333333333332</v>
      </c>
      <c r="BN24" s="40">
        <f t="shared" si="36"/>
        <v>17333.333333333332</v>
      </c>
      <c r="BO24" s="40">
        <f t="shared" si="36"/>
        <v>17333.333333333332</v>
      </c>
      <c r="BP24" s="40">
        <f t="shared" si="36"/>
        <v>17333.333333333332</v>
      </c>
      <c r="BQ24" s="40">
        <f t="shared" si="36"/>
        <v>17333.333333333332</v>
      </c>
      <c r="BR24" s="40">
        <f t="shared" si="36"/>
        <v>17333.333333333332</v>
      </c>
      <c r="BS24" s="40">
        <f t="shared" si="36"/>
        <v>17333.333333333332</v>
      </c>
      <c r="BT24" s="40">
        <f t="shared" si="36"/>
        <v>17333.333333333332</v>
      </c>
      <c r="BU24" s="40">
        <f t="shared" si="36"/>
        <v>17333.333333333332</v>
      </c>
      <c r="BV24" s="40">
        <f t="shared" si="36"/>
        <v>17333.333333333332</v>
      </c>
      <c r="BW24" s="40">
        <f t="shared" si="37"/>
        <v>17333.333333333332</v>
      </c>
      <c r="BX24" s="40">
        <f t="shared" si="37"/>
        <v>17333.333333333332</v>
      </c>
      <c r="BY24" s="40">
        <f t="shared" si="37"/>
        <v>17333.333333333332</v>
      </c>
      <c r="BZ24" s="40">
        <f t="shared" si="37"/>
        <v>17333.333333333332</v>
      </c>
      <c r="CA24" s="40">
        <f t="shared" si="37"/>
        <v>17333.333333333332</v>
      </c>
      <c r="CB24" s="40">
        <f t="shared" si="37"/>
        <v>17333.333333333332</v>
      </c>
      <c r="CC24" s="40">
        <f t="shared" si="37"/>
        <v>17333.333333333332</v>
      </c>
      <c r="CD24" s="40">
        <f t="shared" si="37"/>
        <v>17333.333333333332</v>
      </c>
      <c r="CE24" s="40">
        <f t="shared" si="37"/>
        <v>17333.333333333332</v>
      </c>
      <c r="CF24" s="40">
        <f t="shared" si="37"/>
        <v>17333.333333333332</v>
      </c>
      <c r="CG24" s="40">
        <f t="shared" si="38"/>
        <v>17333.333333333332</v>
      </c>
      <c r="CH24" s="40">
        <f t="shared" si="38"/>
        <v>17333.333333333332</v>
      </c>
      <c r="CI24" s="40">
        <f t="shared" si="38"/>
        <v>17333.333333333332</v>
      </c>
      <c r="CJ24" s="40">
        <f t="shared" si="38"/>
        <v>17333.333333333332</v>
      </c>
      <c r="CK24" s="40">
        <f t="shared" si="38"/>
        <v>17333.333333333332</v>
      </c>
      <c r="CL24" s="40">
        <f t="shared" si="38"/>
        <v>17333.333333333332</v>
      </c>
      <c r="CM24" s="40">
        <f t="shared" si="38"/>
        <v>17333.333333333332</v>
      </c>
      <c r="CN24" s="40">
        <f t="shared" si="38"/>
        <v>17333.333333333332</v>
      </c>
      <c r="CO24" s="40">
        <f t="shared" si="38"/>
        <v>17333.333333333332</v>
      </c>
      <c r="CP24" s="40">
        <f t="shared" si="38"/>
        <v>17333.333333333332</v>
      </c>
      <c r="CQ24" s="40">
        <f t="shared" si="39"/>
        <v>17333.333333333332</v>
      </c>
      <c r="CR24" s="40">
        <f t="shared" si="39"/>
        <v>17333.333333333332</v>
      </c>
      <c r="CS24" s="40">
        <f t="shared" si="39"/>
        <v>17333.333333333332</v>
      </c>
      <c r="CT24" s="40">
        <f t="shared" si="39"/>
        <v>17333.333333333332</v>
      </c>
      <c r="CU24" s="40">
        <f t="shared" si="39"/>
        <v>17333.333333333332</v>
      </c>
      <c r="CV24" s="40">
        <f t="shared" si="39"/>
        <v>17333.333333333332</v>
      </c>
      <c r="CW24" s="40">
        <f t="shared" si="39"/>
        <v>17333.333333333332</v>
      </c>
      <c r="CX24" s="40">
        <f t="shared" si="39"/>
        <v>17333.333333333332</v>
      </c>
      <c r="CY24" s="40">
        <f t="shared" si="39"/>
        <v>17333.333333333332</v>
      </c>
      <c r="CZ24" s="40">
        <f t="shared" si="39"/>
        <v>17333.333333333332</v>
      </c>
      <c r="DA24" s="40">
        <f t="shared" si="40"/>
        <v>17333.333333333332</v>
      </c>
      <c r="DB24" s="40">
        <f t="shared" si="40"/>
        <v>17333.333333333332</v>
      </c>
      <c r="DC24" s="40">
        <f t="shared" si="40"/>
        <v>17333.333333333332</v>
      </c>
      <c r="DD24" s="40">
        <f t="shared" si="40"/>
        <v>17333.333333333332</v>
      </c>
      <c r="DE24" s="40">
        <f t="shared" si="40"/>
        <v>17333.333333333332</v>
      </c>
      <c r="DF24" s="40">
        <f t="shared" si="40"/>
        <v>17333.333333333332</v>
      </c>
      <c r="DG24" s="40">
        <f t="shared" si="40"/>
        <v>17333.333333333332</v>
      </c>
      <c r="DH24" s="40">
        <f t="shared" si="40"/>
        <v>17333.333333333332</v>
      </c>
      <c r="DI24" s="40">
        <f t="shared" si="40"/>
        <v>17333.333333333332</v>
      </c>
      <c r="DJ24" s="40">
        <f t="shared" si="40"/>
        <v>17333.333333333332</v>
      </c>
      <c r="DK24" s="40">
        <f t="shared" si="41"/>
        <v>17333.333333333332</v>
      </c>
      <c r="DL24" s="40">
        <f t="shared" si="41"/>
        <v>17333.333333333332</v>
      </c>
      <c r="DM24" s="40">
        <f t="shared" si="41"/>
        <v>17333.333333333332</v>
      </c>
      <c r="DN24" s="40">
        <f t="shared" si="41"/>
        <v>17333.333333333332</v>
      </c>
      <c r="DO24" s="40">
        <f t="shared" si="41"/>
        <v>17333.333333333332</v>
      </c>
      <c r="DP24" s="40">
        <f t="shared" si="41"/>
        <v>17333.333333333332</v>
      </c>
      <c r="DQ24" s="40">
        <f t="shared" si="41"/>
        <v>17333.333333333332</v>
      </c>
      <c r="DR24" s="40">
        <f t="shared" si="41"/>
        <v>17333.333333333332</v>
      </c>
      <c r="DS24" s="40">
        <f t="shared" si="41"/>
        <v>17333.333333333332</v>
      </c>
      <c r="DT24" s="40">
        <f t="shared" si="41"/>
        <v>17333.333333333332</v>
      </c>
      <c r="DU24" s="40">
        <f t="shared" si="42"/>
        <v>17333.333333333332</v>
      </c>
      <c r="DV24" s="40">
        <f t="shared" si="42"/>
        <v>17333.333333333332</v>
      </c>
      <c r="DW24" s="40">
        <f t="shared" si="42"/>
        <v>17333.333333333332</v>
      </c>
      <c r="DX24" s="40">
        <f t="shared" si="42"/>
        <v>17333.333333333332</v>
      </c>
      <c r="DY24" s="40">
        <f t="shared" si="42"/>
        <v>17333.333333333332</v>
      </c>
      <c r="DZ24" s="40">
        <f t="shared" si="42"/>
        <v>17333.333333333332</v>
      </c>
      <c r="EA24" s="40">
        <f t="shared" si="42"/>
        <v>17333.333333333332</v>
      </c>
      <c r="EB24" s="40">
        <f t="shared" si="42"/>
        <v>17333.333333333332</v>
      </c>
      <c r="EC24" s="40">
        <f t="shared" si="42"/>
        <v>17333.333333333332</v>
      </c>
      <c r="ED24" s="40">
        <f t="shared" si="42"/>
        <v>17333.333333333332</v>
      </c>
      <c r="EE24" s="40">
        <f t="shared" si="43"/>
        <v>17333.333333333332</v>
      </c>
      <c r="EF24" s="40">
        <f t="shared" si="43"/>
        <v>17333.333333333332</v>
      </c>
      <c r="EG24" s="40">
        <f t="shared" si="43"/>
        <v>17333.333333333332</v>
      </c>
      <c r="EH24" s="40">
        <f t="shared" si="43"/>
        <v>17333.333333333332</v>
      </c>
      <c r="EI24" s="40">
        <f t="shared" si="43"/>
        <v>17333.333333333332</v>
      </c>
      <c r="EJ24" s="40">
        <f t="shared" si="43"/>
        <v>17333.333333333332</v>
      </c>
      <c r="EK24" s="40">
        <f t="shared" si="43"/>
        <v>17333.333333333332</v>
      </c>
      <c r="EL24" s="40">
        <f t="shared" si="43"/>
        <v>17333.333333333332</v>
      </c>
      <c r="EM24" s="40">
        <f t="shared" si="43"/>
        <v>17333.333333333332</v>
      </c>
      <c r="EN24" s="40">
        <f t="shared" si="43"/>
        <v>17333.333333333332</v>
      </c>
    </row>
    <row r="25" spans="2:144" x14ac:dyDescent="0.35">
      <c r="B25" s="37" t="s">
        <v>297</v>
      </c>
      <c r="C25" s="19" t="s">
        <v>298</v>
      </c>
      <c r="D25" s="20">
        <v>25000</v>
      </c>
      <c r="E25" s="18">
        <f t="shared" si="8"/>
        <v>2.0613456464379946E-2</v>
      </c>
      <c r="F25" s="38">
        <v>40057</v>
      </c>
      <c r="G25" s="38">
        <v>45809</v>
      </c>
      <c r="H25" s="32">
        <v>5.91</v>
      </c>
      <c r="I25" s="28">
        <f t="shared" si="9"/>
        <v>147750</v>
      </c>
      <c r="J25" s="26">
        <v>0.03</v>
      </c>
      <c r="K25" s="37" t="s">
        <v>266</v>
      </c>
      <c r="L25" s="32">
        <v>9</v>
      </c>
      <c r="M25" s="37" t="s">
        <v>267</v>
      </c>
      <c r="N25" s="39">
        <f t="shared" si="10"/>
        <v>-171</v>
      </c>
      <c r="O25" s="39">
        <f t="shared" si="11"/>
        <v>18</v>
      </c>
      <c r="P25" s="39">
        <f t="shared" si="12"/>
        <v>19</v>
      </c>
      <c r="Q25" s="39">
        <f t="shared" si="13"/>
        <v>3</v>
      </c>
      <c r="R25" s="39">
        <f t="shared" si="14"/>
        <v>22</v>
      </c>
      <c r="S25" s="39">
        <f t="shared" si="15"/>
        <v>1</v>
      </c>
      <c r="T25" s="39">
        <f t="shared" si="16"/>
        <v>23</v>
      </c>
      <c r="U25" s="39">
        <f t="shared" si="17"/>
        <v>2</v>
      </c>
      <c r="V25" s="39">
        <f t="shared" si="18"/>
        <v>59375</v>
      </c>
      <c r="W25" s="39">
        <f>IF(D25="",0,Retention_Ratio*LC_Ren*LeaseTermYrs*'Rent Roll'!D25*'Rent Roll'!X25+(1-Retention_Ratio)*LC_Ren*LeaseTermYrs*'Rent Roll'!D25*'Rent Roll'!X25)</f>
        <v>35775</v>
      </c>
      <c r="X25" s="25">
        <f t="shared" si="19"/>
        <v>9.5400000000000009</v>
      </c>
      <c r="Y25" s="40">
        <f t="shared" si="32"/>
        <v>12312.5</v>
      </c>
      <c r="Z25" s="40">
        <f t="shared" si="32"/>
        <v>12312.5</v>
      </c>
      <c r="AA25" s="40">
        <f t="shared" si="32"/>
        <v>12312.5</v>
      </c>
      <c r="AB25" s="40">
        <f t="shared" si="32"/>
        <v>12312.5</v>
      </c>
      <c r="AC25" s="40">
        <f t="shared" si="32"/>
        <v>12312.5</v>
      </c>
      <c r="AD25" s="40">
        <f t="shared" si="32"/>
        <v>12312.5</v>
      </c>
      <c r="AE25" s="40">
        <f t="shared" si="32"/>
        <v>12312.5</v>
      </c>
      <c r="AF25" s="40">
        <f t="shared" si="32"/>
        <v>12312.5</v>
      </c>
      <c r="AG25" s="40">
        <f t="shared" si="32"/>
        <v>12312.5</v>
      </c>
      <c r="AH25" s="40">
        <f t="shared" si="32"/>
        <v>12312.5</v>
      </c>
      <c r="AI25" s="40">
        <f t="shared" si="33"/>
        <v>12312.5</v>
      </c>
      <c r="AJ25" s="40">
        <f t="shared" si="33"/>
        <v>12312.5</v>
      </c>
      <c r="AK25" s="40">
        <f t="shared" si="33"/>
        <v>12681.875</v>
      </c>
      <c r="AL25" s="40">
        <f t="shared" si="33"/>
        <v>12681.875</v>
      </c>
      <c r="AM25" s="40">
        <f t="shared" si="33"/>
        <v>12681.875</v>
      </c>
      <c r="AN25" s="40">
        <f t="shared" si="33"/>
        <v>12681.875</v>
      </c>
      <c r="AO25" s="40">
        <f t="shared" si="33"/>
        <v>12681.875</v>
      </c>
      <c r="AP25" s="40">
        <f t="shared" si="33"/>
        <v>12681.875</v>
      </c>
      <c r="AQ25" s="40">
        <f t="shared" si="33"/>
        <v>0</v>
      </c>
      <c r="AR25" s="40">
        <f t="shared" si="33"/>
        <v>0</v>
      </c>
      <c r="AS25" s="40">
        <f t="shared" si="34"/>
        <v>0</v>
      </c>
      <c r="AT25" s="40">
        <f t="shared" si="34"/>
        <v>0</v>
      </c>
      <c r="AU25" s="40">
        <f t="shared" si="34"/>
        <v>19875.000000000004</v>
      </c>
      <c r="AV25" s="40">
        <f t="shared" si="34"/>
        <v>19875.000000000004</v>
      </c>
      <c r="AW25" s="40">
        <f t="shared" si="34"/>
        <v>19875.000000000004</v>
      </c>
      <c r="AX25" s="40">
        <f t="shared" si="34"/>
        <v>19875.000000000004</v>
      </c>
      <c r="AY25" s="40">
        <f t="shared" si="34"/>
        <v>19875.000000000004</v>
      </c>
      <c r="AZ25" s="40">
        <f t="shared" si="34"/>
        <v>19875.000000000004</v>
      </c>
      <c r="BA25" s="40">
        <f t="shared" si="34"/>
        <v>19875.000000000004</v>
      </c>
      <c r="BB25" s="40">
        <f t="shared" si="34"/>
        <v>19875.000000000004</v>
      </c>
      <c r="BC25" s="40">
        <f t="shared" si="35"/>
        <v>19875.000000000004</v>
      </c>
      <c r="BD25" s="40">
        <f t="shared" si="35"/>
        <v>19875.000000000004</v>
      </c>
      <c r="BE25" s="40">
        <f t="shared" si="35"/>
        <v>19875.000000000004</v>
      </c>
      <c r="BF25" s="40">
        <f t="shared" si="35"/>
        <v>20471.250000000004</v>
      </c>
      <c r="BG25" s="40">
        <f t="shared" si="35"/>
        <v>20471.250000000004</v>
      </c>
      <c r="BH25" s="40">
        <f t="shared" si="35"/>
        <v>20471.250000000004</v>
      </c>
      <c r="BI25" s="40">
        <f t="shared" si="35"/>
        <v>20471.250000000004</v>
      </c>
      <c r="BJ25" s="40">
        <f t="shared" si="35"/>
        <v>20471.250000000004</v>
      </c>
      <c r="BK25" s="40">
        <f t="shared" si="35"/>
        <v>20471.250000000004</v>
      </c>
      <c r="BL25" s="40">
        <f t="shared" si="35"/>
        <v>20471.250000000004</v>
      </c>
      <c r="BM25" s="40">
        <f t="shared" si="36"/>
        <v>20471.250000000004</v>
      </c>
      <c r="BN25" s="40">
        <f t="shared" si="36"/>
        <v>20471.250000000004</v>
      </c>
      <c r="BO25" s="40">
        <f t="shared" si="36"/>
        <v>20471.250000000004</v>
      </c>
      <c r="BP25" s="40">
        <f t="shared" si="36"/>
        <v>20471.250000000004</v>
      </c>
      <c r="BQ25" s="40">
        <f t="shared" si="36"/>
        <v>20471.250000000004</v>
      </c>
      <c r="BR25" s="40">
        <f t="shared" si="36"/>
        <v>21085.387500000001</v>
      </c>
      <c r="BS25" s="40">
        <f t="shared" si="36"/>
        <v>21085.387500000001</v>
      </c>
      <c r="BT25" s="40">
        <f t="shared" si="36"/>
        <v>21085.387500000001</v>
      </c>
      <c r="BU25" s="40">
        <f t="shared" si="36"/>
        <v>21085.387500000001</v>
      </c>
      <c r="BV25" s="40">
        <f t="shared" si="36"/>
        <v>21085.387500000001</v>
      </c>
      <c r="BW25" s="40">
        <f t="shared" si="37"/>
        <v>21085.387500000001</v>
      </c>
      <c r="BX25" s="40">
        <f t="shared" si="37"/>
        <v>21085.387500000001</v>
      </c>
      <c r="BY25" s="40">
        <f t="shared" si="37"/>
        <v>21085.387500000001</v>
      </c>
      <c r="BZ25" s="40">
        <f t="shared" si="37"/>
        <v>21085.387500000001</v>
      </c>
      <c r="CA25" s="40">
        <f t="shared" si="37"/>
        <v>21085.387500000001</v>
      </c>
      <c r="CB25" s="40">
        <f t="shared" si="37"/>
        <v>21085.387500000001</v>
      </c>
      <c r="CC25" s="40">
        <f t="shared" si="37"/>
        <v>21085.387500000001</v>
      </c>
      <c r="CD25" s="40">
        <f t="shared" si="37"/>
        <v>21717.949125000003</v>
      </c>
      <c r="CE25" s="40">
        <f t="shared" si="37"/>
        <v>21717.949125000003</v>
      </c>
      <c r="CF25" s="40">
        <f t="shared" si="37"/>
        <v>21717.949125000003</v>
      </c>
      <c r="CG25" s="40">
        <f t="shared" si="38"/>
        <v>21717.949125000003</v>
      </c>
      <c r="CH25" s="40">
        <f t="shared" si="38"/>
        <v>21717.949125000003</v>
      </c>
      <c r="CI25" s="40">
        <f t="shared" si="38"/>
        <v>21717.949125000003</v>
      </c>
      <c r="CJ25" s="40">
        <f t="shared" si="38"/>
        <v>21717.949125000003</v>
      </c>
      <c r="CK25" s="40">
        <f t="shared" si="38"/>
        <v>21717.949125000003</v>
      </c>
      <c r="CL25" s="40">
        <f t="shared" si="38"/>
        <v>21717.949125000003</v>
      </c>
      <c r="CM25" s="40">
        <f t="shared" si="38"/>
        <v>21717.949125000003</v>
      </c>
      <c r="CN25" s="40">
        <f t="shared" si="38"/>
        <v>21717.949125000003</v>
      </c>
      <c r="CO25" s="40">
        <f t="shared" si="38"/>
        <v>21717.949125000003</v>
      </c>
      <c r="CP25" s="40">
        <f t="shared" si="38"/>
        <v>22369.487598750002</v>
      </c>
      <c r="CQ25" s="40">
        <f t="shared" si="39"/>
        <v>22369.487598750002</v>
      </c>
      <c r="CR25" s="40">
        <f t="shared" si="39"/>
        <v>22369.487598750002</v>
      </c>
      <c r="CS25" s="40">
        <f t="shared" si="39"/>
        <v>22369.487598750002</v>
      </c>
      <c r="CT25" s="40">
        <f t="shared" si="39"/>
        <v>22369.487598750002</v>
      </c>
      <c r="CU25" s="40">
        <f t="shared" si="39"/>
        <v>22369.487598750002</v>
      </c>
      <c r="CV25" s="40">
        <f t="shared" si="39"/>
        <v>22369.487598750002</v>
      </c>
      <c r="CW25" s="40">
        <f t="shared" si="39"/>
        <v>22369.487598750002</v>
      </c>
      <c r="CX25" s="40">
        <f t="shared" si="39"/>
        <v>22369.487598750002</v>
      </c>
      <c r="CY25" s="40">
        <f t="shared" si="39"/>
        <v>22369.487598750002</v>
      </c>
      <c r="CZ25" s="40">
        <f t="shared" si="39"/>
        <v>22369.487598750002</v>
      </c>
      <c r="DA25" s="40">
        <f t="shared" si="40"/>
        <v>22369.487598750002</v>
      </c>
      <c r="DB25" s="40">
        <f t="shared" si="40"/>
        <v>23040.572226712498</v>
      </c>
      <c r="DC25" s="40">
        <f t="shared" si="40"/>
        <v>23040.572226712498</v>
      </c>
      <c r="DD25" s="40">
        <f t="shared" si="40"/>
        <v>23040.572226712498</v>
      </c>
      <c r="DE25" s="40">
        <f t="shared" si="40"/>
        <v>23040.572226712498</v>
      </c>
      <c r="DF25" s="40">
        <f t="shared" si="40"/>
        <v>23040.572226712498</v>
      </c>
      <c r="DG25" s="40">
        <f t="shared" si="40"/>
        <v>23040.572226712498</v>
      </c>
      <c r="DH25" s="40">
        <f t="shared" si="40"/>
        <v>23040.572226712498</v>
      </c>
      <c r="DI25" s="40">
        <f t="shared" si="40"/>
        <v>23040.572226712498</v>
      </c>
      <c r="DJ25" s="40">
        <f t="shared" si="40"/>
        <v>23040.572226712498</v>
      </c>
      <c r="DK25" s="40">
        <f t="shared" si="41"/>
        <v>23040.572226712498</v>
      </c>
      <c r="DL25" s="40">
        <f t="shared" si="41"/>
        <v>23040.572226712498</v>
      </c>
      <c r="DM25" s="40">
        <f t="shared" si="41"/>
        <v>23040.572226712498</v>
      </c>
      <c r="DN25" s="40">
        <f t="shared" si="41"/>
        <v>23731.789393513875</v>
      </c>
      <c r="DO25" s="40">
        <f t="shared" si="41"/>
        <v>23731.789393513875</v>
      </c>
      <c r="DP25" s="40">
        <f t="shared" si="41"/>
        <v>23731.789393513875</v>
      </c>
      <c r="DQ25" s="40">
        <f t="shared" si="41"/>
        <v>23731.789393513875</v>
      </c>
      <c r="DR25" s="40">
        <f t="shared" si="41"/>
        <v>23731.789393513875</v>
      </c>
      <c r="DS25" s="40">
        <f t="shared" si="41"/>
        <v>23731.789393513875</v>
      </c>
      <c r="DT25" s="40">
        <f t="shared" si="41"/>
        <v>23731.789393513875</v>
      </c>
      <c r="DU25" s="40">
        <f t="shared" si="42"/>
        <v>23731.789393513875</v>
      </c>
      <c r="DV25" s="40">
        <f t="shared" si="42"/>
        <v>23731.789393513875</v>
      </c>
      <c r="DW25" s="40">
        <f t="shared" si="42"/>
        <v>23731.789393513875</v>
      </c>
      <c r="DX25" s="40">
        <f t="shared" si="42"/>
        <v>23731.789393513875</v>
      </c>
      <c r="DY25" s="40">
        <f t="shared" si="42"/>
        <v>23731.789393513875</v>
      </c>
      <c r="DZ25" s="40">
        <f t="shared" si="42"/>
        <v>24443.743075319293</v>
      </c>
      <c r="EA25" s="40">
        <f t="shared" si="42"/>
        <v>24443.743075319293</v>
      </c>
      <c r="EB25" s="40">
        <f t="shared" si="42"/>
        <v>24443.743075319293</v>
      </c>
      <c r="EC25" s="40">
        <f t="shared" si="42"/>
        <v>24443.743075319293</v>
      </c>
      <c r="ED25" s="40">
        <f t="shared" si="42"/>
        <v>24443.743075319293</v>
      </c>
      <c r="EE25" s="40">
        <f t="shared" si="43"/>
        <v>24443.743075319293</v>
      </c>
      <c r="EF25" s="40">
        <f t="shared" si="43"/>
        <v>24443.743075319293</v>
      </c>
      <c r="EG25" s="40">
        <f t="shared" si="43"/>
        <v>24443.743075319293</v>
      </c>
      <c r="EH25" s="40">
        <f t="shared" si="43"/>
        <v>24443.743075319293</v>
      </c>
      <c r="EI25" s="40">
        <f t="shared" si="43"/>
        <v>24443.743075319293</v>
      </c>
      <c r="EJ25" s="40">
        <f t="shared" si="43"/>
        <v>24443.743075319293</v>
      </c>
      <c r="EK25" s="40">
        <f t="shared" si="43"/>
        <v>24443.743075319293</v>
      </c>
      <c r="EL25" s="40">
        <f t="shared" si="43"/>
        <v>25177.055367578869</v>
      </c>
      <c r="EM25" s="40">
        <f t="shared" si="43"/>
        <v>25177.055367578869</v>
      </c>
      <c r="EN25" s="40">
        <f t="shared" si="43"/>
        <v>25177.055367578869</v>
      </c>
    </row>
    <row r="26" spans="2:144" x14ac:dyDescent="0.35">
      <c r="B26" s="37" t="s">
        <v>299</v>
      </c>
      <c r="C26" s="19" t="s">
        <v>298</v>
      </c>
      <c r="D26" s="20">
        <v>36000</v>
      </c>
      <c r="E26" s="18">
        <f t="shared" si="8"/>
        <v>2.9683377308707123E-2</v>
      </c>
      <c r="F26" s="38">
        <v>40057</v>
      </c>
      <c r="G26" s="38">
        <v>45809</v>
      </c>
      <c r="H26" s="32">
        <v>5.91</v>
      </c>
      <c r="I26" s="28">
        <f t="shared" si="9"/>
        <v>212760</v>
      </c>
      <c r="J26" s="26">
        <v>0.03</v>
      </c>
      <c r="K26" s="37" t="s">
        <v>266</v>
      </c>
      <c r="L26" s="32">
        <v>9</v>
      </c>
      <c r="M26" s="37" t="s">
        <v>267</v>
      </c>
      <c r="N26" s="39">
        <f t="shared" si="10"/>
        <v>-171</v>
      </c>
      <c r="O26" s="39">
        <f t="shared" si="11"/>
        <v>18</v>
      </c>
      <c r="P26" s="39">
        <f t="shared" si="12"/>
        <v>19</v>
      </c>
      <c r="Q26" s="39">
        <f t="shared" si="13"/>
        <v>3</v>
      </c>
      <c r="R26" s="39">
        <f t="shared" si="14"/>
        <v>22</v>
      </c>
      <c r="S26" s="39">
        <f t="shared" si="15"/>
        <v>1</v>
      </c>
      <c r="T26" s="39">
        <f t="shared" si="16"/>
        <v>23</v>
      </c>
      <c r="U26" s="39">
        <f t="shared" si="17"/>
        <v>2</v>
      </c>
      <c r="V26" s="39">
        <f t="shared" si="18"/>
        <v>85500</v>
      </c>
      <c r="W26" s="39">
        <f>IF(D26="",0,Retention_Ratio*LC_Ren*LeaseTermYrs*'Rent Roll'!D26*'Rent Roll'!X26+(1-Retention_Ratio)*LC_Ren*LeaseTermYrs*'Rent Roll'!D26*'Rent Roll'!X26)</f>
        <v>51516</v>
      </c>
      <c r="X26" s="25">
        <f t="shared" si="19"/>
        <v>9.5400000000000009</v>
      </c>
      <c r="Y26" s="40">
        <f t="shared" si="32"/>
        <v>17730</v>
      </c>
      <c r="Z26" s="40">
        <f t="shared" si="32"/>
        <v>17730</v>
      </c>
      <c r="AA26" s="40">
        <f t="shared" si="32"/>
        <v>17730</v>
      </c>
      <c r="AB26" s="40">
        <f t="shared" si="32"/>
        <v>17730</v>
      </c>
      <c r="AC26" s="40">
        <f t="shared" si="32"/>
        <v>17730</v>
      </c>
      <c r="AD26" s="40">
        <f t="shared" si="32"/>
        <v>17730</v>
      </c>
      <c r="AE26" s="40">
        <f t="shared" si="32"/>
        <v>17730</v>
      </c>
      <c r="AF26" s="40">
        <f t="shared" si="32"/>
        <v>17730</v>
      </c>
      <c r="AG26" s="40">
        <f t="shared" si="32"/>
        <v>17730</v>
      </c>
      <c r="AH26" s="40">
        <f t="shared" si="32"/>
        <v>17730</v>
      </c>
      <c r="AI26" s="40">
        <f t="shared" si="33"/>
        <v>17730</v>
      </c>
      <c r="AJ26" s="40">
        <f t="shared" si="33"/>
        <v>17730</v>
      </c>
      <c r="AK26" s="40">
        <f t="shared" si="33"/>
        <v>18261.900000000001</v>
      </c>
      <c r="AL26" s="40">
        <f t="shared" si="33"/>
        <v>18261.900000000001</v>
      </c>
      <c r="AM26" s="40">
        <f t="shared" si="33"/>
        <v>18261.900000000001</v>
      </c>
      <c r="AN26" s="40">
        <f t="shared" si="33"/>
        <v>18261.900000000001</v>
      </c>
      <c r="AO26" s="40">
        <f t="shared" si="33"/>
        <v>18261.900000000001</v>
      </c>
      <c r="AP26" s="40">
        <f t="shared" si="33"/>
        <v>18261.900000000001</v>
      </c>
      <c r="AQ26" s="40">
        <f t="shared" si="33"/>
        <v>0</v>
      </c>
      <c r="AR26" s="40">
        <f t="shared" si="33"/>
        <v>0</v>
      </c>
      <c r="AS26" s="40">
        <f t="shared" si="34"/>
        <v>0</v>
      </c>
      <c r="AT26" s="40">
        <f t="shared" si="34"/>
        <v>0</v>
      </c>
      <c r="AU26" s="40">
        <f t="shared" si="34"/>
        <v>28620.000000000004</v>
      </c>
      <c r="AV26" s="40">
        <f t="shared" si="34"/>
        <v>28620.000000000004</v>
      </c>
      <c r="AW26" s="40">
        <f t="shared" si="34"/>
        <v>28620.000000000004</v>
      </c>
      <c r="AX26" s="40">
        <f t="shared" si="34"/>
        <v>28620.000000000004</v>
      </c>
      <c r="AY26" s="40">
        <f t="shared" si="34"/>
        <v>28620.000000000004</v>
      </c>
      <c r="AZ26" s="40">
        <f t="shared" si="34"/>
        <v>28620.000000000004</v>
      </c>
      <c r="BA26" s="40">
        <f t="shared" si="34"/>
        <v>28620.000000000004</v>
      </c>
      <c r="BB26" s="40">
        <f t="shared" si="34"/>
        <v>28620.000000000004</v>
      </c>
      <c r="BC26" s="40">
        <f t="shared" si="35"/>
        <v>28620.000000000004</v>
      </c>
      <c r="BD26" s="40">
        <f t="shared" si="35"/>
        <v>28620.000000000004</v>
      </c>
      <c r="BE26" s="40">
        <f t="shared" si="35"/>
        <v>28620.000000000004</v>
      </c>
      <c r="BF26" s="40">
        <f t="shared" si="35"/>
        <v>29478.600000000006</v>
      </c>
      <c r="BG26" s="40">
        <f t="shared" si="35"/>
        <v>29478.600000000006</v>
      </c>
      <c r="BH26" s="40">
        <f t="shared" si="35"/>
        <v>29478.600000000006</v>
      </c>
      <c r="BI26" s="40">
        <f t="shared" si="35"/>
        <v>29478.600000000006</v>
      </c>
      <c r="BJ26" s="40">
        <f t="shared" si="35"/>
        <v>29478.600000000006</v>
      </c>
      <c r="BK26" s="40">
        <f t="shared" si="35"/>
        <v>29478.600000000006</v>
      </c>
      <c r="BL26" s="40">
        <f t="shared" si="35"/>
        <v>29478.600000000006</v>
      </c>
      <c r="BM26" s="40">
        <f t="shared" si="36"/>
        <v>29478.600000000006</v>
      </c>
      <c r="BN26" s="40">
        <f t="shared" si="36"/>
        <v>29478.600000000006</v>
      </c>
      <c r="BO26" s="40">
        <f t="shared" si="36"/>
        <v>29478.600000000006</v>
      </c>
      <c r="BP26" s="40">
        <f t="shared" si="36"/>
        <v>29478.600000000006</v>
      </c>
      <c r="BQ26" s="40">
        <f t="shared" si="36"/>
        <v>29478.600000000006</v>
      </c>
      <c r="BR26" s="40">
        <f t="shared" si="36"/>
        <v>30362.958000000002</v>
      </c>
      <c r="BS26" s="40">
        <f t="shared" si="36"/>
        <v>30362.958000000002</v>
      </c>
      <c r="BT26" s="40">
        <f t="shared" si="36"/>
        <v>30362.958000000002</v>
      </c>
      <c r="BU26" s="40">
        <f t="shared" si="36"/>
        <v>30362.958000000002</v>
      </c>
      <c r="BV26" s="40">
        <f t="shared" si="36"/>
        <v>30362.958000000002</v>
      </c>
      <c r="BW26" s="40">
        <f t="shared" si="37"/>
        <v>30362.958000000002</v>
      </c>
      <c r="BX26" s="40">
        <f t="shared" si="37"/>
        <v>30362.958000000002</v>
      </c>
      <c r="BY26" s="40">
        <f t="shared" si="37"/>
        <v>30362.958000000002</v>
      </c>
      <c r="BZ26" s="40">
        <f t="shared" si="37"/>
        <v>30362.958000000002</v>
      </c>
      <c r="CA26" s="40">
        <f t="shared" si="37"/>
        <v>30362.958000000002</v>
      </c>
      <c r="CB26" s="40">
        <f t="shared" si="37"/>
        <v>30362.958000000002</v>
      </c>
      <c r="CC26" s="40">
        <f t="shared" si="37"/>
        <v>30362.958000000002</v>
      </c>
      <c r="CD26" s="40">
        <f t="shared" si="37"/>
        <v>31273.846740000005</v>
      </c>
      <c r="CE26" s="40">
        <f t="shared" si="37"/>
        <v>31273.846740000005</v>
      </c>
      <c r="CF26" s="40">
        <f t="shared" si="37"/>
        <v>31273.846740000005</v>
      </c>
      <c r="CG26" s="40">
        <f t="shared" si="38"/>
        <v>31273.846740000005</v>
      </c>
      <c r="CH26" s="40">
        <f t="shared" si="38"/>
        <v>31273.846740000005</v>
      </c>
      <c r="CI26" s="40">
        <f t="shared" si="38"/>
        <v>31273.846740000005</v>
      </c>
      <c r="CJ26" s="40">
        <f t="shared" si="38"/>
        <v>31273.846740000005</v>
      </c>
      <c r="CK26" s="40">
        <f t="shared" si="38"/>
        <v>31273.846740000005</v>
      </c>
      <c r="CL26" s="40">
        <f t="shared" si="38"/>
        <v>31273.846740000005</v>
      </c>
      <c r="CM26" s="40">
        <f t="shared" si="38"/>
        <v>31273.846740000005</v>
      </c>
      <c r="CN26" s="40">
        <f t="shared" si="38"/>
        <v>31273.846740000005</v>
      </c>
      <c r="CO26" s="40">
        <f t="shared" si="38"/>
        <v>31273.846740000005</v>
      </c>
      <c r="CP26" s="40">
        <f t="shared" si="38"/>
        <v>32212.0621422</v>
      </c>
      <c r="CQ26" s="40">
        <f t="shared" si="39"/>
        <v>32212.0621422</v>
      </c>
      <c r="CR26" s="40">
        <f t="shared" si="39"/>
        <v>32212.0621422</v>
      </c>
      <c r="CS26" s="40">
        <f t="shared" si="39"/>
        <v>32212.0621422</v>
      </c>
      <c r="CT26" s="40">
        <f t="shared" si="39"/>
        <v>32212.0621422</v>
      </c>
      <c r="CU26" s="40">
        <f t="shared" si="39"/>
        <v>32212.0621422</v>
      </c>
      <c r="CV26" s="40">
        <f t="shared" si="39"/>
        <v>32212.0621422</v>
      </c>
      <c r="CW26" s="40">
        <f t="shared" si="39"/>
        <v>32212.0621422</v>
      </c>
      <c r="CX26" s="40">
        <f t="shared" si="39"/>
        <v>32212.0621422</v>
      </c>
      <c r="CY26" s="40">
        <f t="shared" si="39"/>
        <v>32212.0621422</v>
      </c>
      <c r="CZ26" s="40">
        <f t="shared" si="39"/>
        <v>32212.0621422</v>
      </c>
      <c r="DA26" s="40">
        <f t="shared" si="40"/>
        <v>32212.0621422</v>
      </c>
      <c r="DB26" s="40">
        <f t="shared" si="40"/>
        <v>33178.424006466004</v>
      </c>
      <c r="DC26" s="40">
        <f t="shared" si="40"/>
        <v>33178.424006466004</v>
      </c>
      <c r="DD26" s="40">
        <f t="shared" si="40"/>
        <v>33178.424006466004</v>
      </c>
      <c r="DE26" s="40">
        <f t="shared" si="40"/>
        <v>33178.424006466004</v>
      </c>
      <c r="DF26" s="40">
        <f t="shared" si="40"/>
        <v>33178.424006466004</v>
      </c>
      <c r="DG26" s="40">
        <f t="shared" si="40"/>
        <v>33178.424006466004</v>
      </c>
      <c r="DH26" s="40">
        <f t="shared" si="40"/>
        <v>33178.424006466004</v>
      </c>
      <c r="DI26" s="40">
        <f t="shared" si="40"/>
        <v>33178.424006466004</v>
      </c>
      <c r="DJ26" s="40">
        <f t="shared" si="40"/>
        <v>33178.424006466004</v>
      </c>
      <c r="DK26" s="40">
        <f t="shared" si="41"/>
        <v>33178.424006466004</v>
      </c>
      <c r="DL26" s="40">
        <f t="shared" si="41"/>
        <v>33178.424006466004</v>
      </c>
      <c r="DM26" s="40">
        <f t="shared" si="41"/>
        <v>33178.424006466004</v>
      </c>
      <c r="DN26" s="40">
        <f t="shared" si="41"/>
        <v>34173.776726659984</v>
      </c>
      <c r="DO26" s="40">
        <f t="shared" si="41"/>
        <v>34173.776726659984</v>
      </c>
      <c r="DP26" s="40">
        <f t="shared" si="41"/>
        <v>34173.776726659984</v>
      </c>
      <c r="DQ26" s="40">
        <f t="shared" si="41"/>
        <v>34173.776726659984</v>
      </c>
      <c r="DR26" s="40">
        <f t="shared" si="41"/>
        <v>34173.776726659984</v>
      </c>
      <c r="DS26" s="40">
        <f t="shared" si="41"/>
        <v>34173.776726659984</v>
      </c>
      <c r="DT26" s="40">
        <f t="shared" si="41"/>
        <v>34173.776726659984</v>
      </c>
      <c r="DU26" s="40">
        <f t="shared" si="42"/>
        <v>34173.776726659984</v>
      </c>
      <c r="DV26" s="40">
        <f t="shared" si="42"/>
        <v>34173.776726659984</v>
      </c>
      <c r="DW26" s="40">
        <f t="shared" si="42"/>
        <v>34173.776726659984</v>
      </c>
      <c r="DX26" s="40">
        <f t="shared" si="42"/>
        <v>34173.776726659984</v>
      </c>
      <c r="DY26" s="40">
        <f t="shared" si="42"/>
        <v>34173.776726659984</v>
      </c>
      <c r="DZ26" s="40">
        <f t="shared" si="42"/>
        <v>35198.990028459782</v>
      </c>
      <c r="EA26" s="40">
        <f t="shared" si="42"/>
        <v>35198.990028459782</v>
      </c>
      <c r="EB26" s="40">
        <f t="shared" si="42"/>
        <v>35198.990028459782</v>
      </c>
      <c r="EC26" s="40">
        <f t="shared" si="42"/>
        <v>35198.990028459782</v>
      </c>
      <c r="ED26" s="40">
        <f t="shared" si="42"/>
        <v>35198.990028459782</v>
      </c>
      <c r="EE26" s="40">
        <f t="shared" si="43"/>
        <v>35198.990028459782</v>
      </c>
      <c r="EF26" s="40">
        <f t="shared" si="43"/>
        <v>35198.990028459782</v>
      </c>
      <c r="EG26" s="40">
        <f t="shared" si="43"/>
        <v>35198.990028459782</v>
      </c>
      <c r="EH26" s="40">
        <f t="shared" si="43"/>
        <v>35198.990028459782</v>
      </c>
      <c r="EI26" s="40">
        <f t="shared" si="43"/>
        <v>35198.990028459782</v>
      </c>
      <c r="EJ26" s="40">
        <f t="shared" si="43"/>
        <v>35198.990028459782</v>
      </c>
      <c r="EK26" s="40">
        <f t="shared" si="43"/>
        <v>35198.990028459782</v>
      </c>
      <c r="EL26" s="40">
        <f t="shared" si="43"/>
        <v>36254.959729313574</v>
      </c>
      <c r="EM26" s="40">
        <f t="shared" si="43"/>
        <v>36254.959729313574</v>
      </c>
      <c r="EN26" s="40">
        <f t="shared" si="43"/>
        <v>36254.959729313574</v>
      </c>
    </row>
    <row r="27" spans="2:144" x14ac:dyDescent="0.35">
      <c r="B27" s="37" t="s">
        <v>300</v>
      </c>
      <c r="C27" s="19" t="s">
        <v>301</v>
      </c>
      <c r="D27" s="20">
        <v>36000</v>
      </c>
      <c r="E27" s="18">
        <f t="shared" si="8"/>
        <v>2.9683377308707123E-2</v>
      </c>
      <c r="F27" s="38">
        <v>44682</v>
      </c>
      <c r="G27" s="38">
        <v>46539</v>
      </c>
      <c r="H27" s="32">
        <v>7.28</v>
      </c>
      <c r="I27" s="28">
        <f t="shared" si="9"/>
        <v>262080</v>
      </c>
      <c r="J27" s="26">
        <v>0.04</v>
      </c>
      <c r="K27" s="37" t="s">
        <v>266</v>
      </c>
      <c r="L27" s="32">
        <v>11</v>
      </c>
      <c r="M27" s="37" t="s">
        <v>267</v>
      </c>
      <c r="N27" s="39">
        <f t="shared" si="10"/>
        <v>-19</v>
      </c>
      <c r="O27" s="39">
        <f t="shared" si="11"/>
        <v>42</v>
      </c>
      <c r="P27" s="39">
        <f t="shared" si="12"/>
        <v>43</v>
      </c>
      <c r="Q27" s="39">
        <f t="shared" si="13"/>
        <v>3</v>
      </c>
      <c r="R27" s="39">
        <f t="shared" si="14"/>
        <v>46</v>
      </c>
      <c r="S27" s="39">
        <f t="shared" si="15"/>
        <v>1</v>
      </c>
      <c r="T27" s="39">
        <f t="shared" si="16"/>
        <v>47</v>
      </c>
      <c r="U27" s="39">
        <f t="shared" si="17"/>
        <v>4</v>
      </c>
      <c r="V27" s="39">
        <f t="shared" si="18"/>
        <v>85500</v>
      </c>
      <c r="W27" s="39">
        <f>IF(D27="",0,Retention_Ratio*LC_Ren*LeaseTermYrs*'Rent Roll'!D27*'Rent Roll'!X27+(1-Retention_Ratio)*LC_Ren*LeaseTermYrs*'Rent Roll'!D27*'Rent Roll'!X27)</f>
        <v>68758.262099999993</v>
      </c>
      <c r="X27" s="25">
        <f t="shared" si="19"/>
        <v>12.7330115</v>
      </c>
      <c r="Y27" s="40">
        <f t="shared" si="32"/>
        <v>21840</v>
      </c>
      <c r="Z27" s="40">
        <f t="shared" si="32"/>
        <v>21840</v>
      </c>
      <c r="AA27" s="40">
        <f t="shared" si="32"/>
        <v>21840</v>
      </c>
      <c r="AB27" s="40">
        <f t="shared" si="32"/>
        <v>21840</v>
      </c>
      <c r="AC27" s="40">
        <f t="shared" si="32"/>
        <v>21840</v>
      </c>
      <c r="AD27" s="40">
        <f t="shared" si="32"/>
        <v>21840</v>
      </c>
      <c r="AE27" s="40">
        <f t="shared" si="32"/>
        <v>21840</v>
      </c>
      <c r="AF27" s="40">
        <f t="shared" si="32"/>
        <v>21840</v>
      </c>
      <c r="AG27" s="40">
        <f t="shared" si="32"/>
        <v>21840</v>
      </c>
      <c r="AH27" s="40">
        <f t="shared" si="32"/>
        <v>21840</v>
      </c>
      <c r="AI27" s="40">
        <f t="shared" si="33"/>
        <v>21840</v>
      </c>
      <c r="AJ27" s="40">
        <f t="shared" si="33"/>
        <v>21840</v>
      </c>
      <c r="AK27" s="40">
        <f t="shared" si="33"/>
        <v>22713.600000000002</v>
      </c>
      <c r="AL27" s="40">
        <f t="shared" si="33"/>
        <v>22713.600000000002</v>
      </c>
      <c r="AM27" s="40">
        <f t="shared" si="33"/>
        <v>22713.600000000002</v>
      </c>
      <c r="AN27" s="40">
        <f t="shared" si="33"/>
        <v>22713.600000000002</v>
      </c>
      <c r="AO27" s="40">
        <f t="shared" si="33"/>
        <v>22713.600000000002</v>
      </c>
      <c r="AP27" s="40">
        <f t="shared" si="33"/>
        <v>22713.600000000002</v>
      </c>
      <c r="AQ27" s="40">
        <f t="shared" si="33"/>
        <v>22713.600000000002</v>
      </c>
      <c r="AR27" s="40">
        <f t="shared" si="33"/>
        <v>22713.600000000002</v>
      </c>
      <c r="AS27" s="40">
        <f t="shared" si="34"/>
        <v>22713.600000000002</v>
      </c>
      <c r="AT27" s="40">
        <f t="shared" si="34"/>
        <v>22713.600000000002</v>
      </c>
      <c r="AU27" s="40">
        <f t="shared" si="34"/>
        <v>22713.600000000002</v>
      </c>
      <c r="AV27" s="40">
        <f t="shared" si="34"/>
        <v>22713.600000000002</v>
      </c>
      <c r="AW27" s="40">
        <f t="shared" si="34"/>
        <v>23622.144</v>
      </c>
      <c r="AX27" s="40">
        <f t="shared" si="34"/>
        <v>23622.144</v>
      </c>
      <c r="AY27" s="40">
        <f t="shared" si="34"/>
        <v>23622.144</v>
      </c>
      <c r="AZ27" s="40">
        <f t="shared" si="34"/>
        <v>23622.144</v>
      </c>
      <c r="BA27" s="40">
        <f t="shared" si="34"/>
        <v>23622.144</v>
      </c>
      <c r="BB27" s="40">
        <f t="shared" si="34"/>
        <v>23622.144</v>
      </c>
      <c r="BC27" s="40">
        <f t="shared" si="35"/>
        <v>23622.144</v>
      </c>
      <c r="BD27" s="40">
        <f t="shared" si="35"/>
        <v>23622.144</v>
      </c>
      <c r="BE27" s="40">
        <f t="shared" si="35"/>
        <v>23622.144</v>
      </c>
      <c r="BF27" s="40">
        <f t="shared" si="35"/>
        <v>23622.144</v>
      </c>
      <c r="BG27" s="40">
        <f t="shared" si="35"/>
        <v>23622.144</v>
      </c>
      <c r="BH27" s="40">
        <f t="shared" si="35"/>
        <v>23622.144</v>
      </c>
      <c r="BI27" s="40">
        <f t="shared" si="35"/>
        <v>24567.029760000001</v>
      </c>
      <c r="BJ27" s="40">
        <f t="shared" si="35"/>
        <v>24567.029760000001</v>
      </c>
      <c r="BK27" s="40">
        <f t="shared" si="35"/>
        <v>24567.029760000001</v>
      </c>
      <c r="BL27" s="40">
        <f t="shared" si="35"/>
        <v>24567.029760000001</v>
      </c>
      <c r="BM27" s="40">
        <f t="shared" si="36"/>
        <v>24567.029760000001</v>
      </c>
      <c r="BN27" s="40">
        <f t="shared" si="36"/>
        <v>24567.029760000001</v>
      </c>
      <c r="BO27" s="40">
        <f t="shared" si="36"/>
        <v>0</v>
      </c>
      <c r="BP27" s="40">
        <f t="shared" si="36"/>
        <v>0</v>
      </c>
      <c r="BQ27" s="40">
        <f t="shared" si="36"/>
        <v>0</v>
      </c>
      <c r="BR27" s="40">
        <f t="shared" si="36"/>
        <v>0</v>
      </c>
      <c r="BS27" s="40">
        <f t="shared" si="36"/>
        <v>38199.034500000002</v>
      </c>
      <c r="BT27" s="40">
        <f t="shared" si="36"/>
        <v>38199.034500000002</v>
      </c>
      <c r="BU27" s="40">
        <f t="shared" si="36"/>
        <v>38199.034500000002</v>
      </c>
      <c r="BV27" s="40">
        <f t="shared" si="36"/>
        <v>38199.034500000002</v>
      </c>
      <c r="BW27" s="40">
        <f t="shared" si="37"/>
        <v>38199.034500000002</v>
      </c>
      <c r="BX27" s="40">
        <f t="shared" si="37"/>
        <v>38199.034500000002</v>
      </c>
      <c r="BY27" s="40">
        <f t="shared" si="37"/>
        <v>38199.034500000002</v>
      </c>
      <c r="BZ27" s="40">
        <f t="shared" si="37"/>
        <v>38199.034500000002</v>
      </c>
      <c r="CA27" s="40">
        <f t="shared" si="37"/>
        <v>38199.034500000002</v>
      </c>
      <c r="CB27" s="40">
        <f t="shared" si="37"/>
        <v>38199.034500000002</v>
      </c>
      <c r="CC27" s="40">
        <f t="shared" si="37"/>
        <v>38199.034500000002</v>
      </c>
      <c r="CD27" s="40">
        <f t="shared" si="37"/>
        <v>39726.995880000002</v>
      </c>
      <c r="CE27" s="40">
        <f t="shared" si="37"/>
        <v>39726.995880000002</v>
      </c>
      <c r="CF27" s="40">
        <f t="shared" si="37"/>
        <v>39726.995880000002</v>
      </c>
      <c r="CG27" s="40">
        <f t="shared" si="38"/>
        <v>39726.995880000002</v>
      </c>
      <c r="CH27" s="40">
        <f t="shared" si="38"/>
        <v>39726.995880000002</v>
      </c>
      <c r="CI27" s="40">
        <f t="shared" si="38"/>
        <v>39726.995880000002</v>
      </c>
      <c r="CJ27" s="40">
        <f t="shared" si="38"/>
        <v>39726.995880000002</v>
      </c>
      <c r="CK27" s="40">
        <f t="shared" si="38"/>
        <v>39726.995880000002</v>
      </c>
      <c r="CL27" s="40">
        <f t="shared" si="38"/>
        <v>39726.995880000002</v>
      </c>
      <c r="CM27" s="40">
        <f t="shared" si="38"/>
        <v>39726.995880000002</v>
      </c>
      <c r="CN27" s="40">
        <f t="shared" si="38"/>
        <v>39726.995880000002</v>
      </c>
      <c r="CO27" s="40">
        <f t="shared" si="38"/>
        <v>39726.995880000002</v>
      </c>
      <c r="CP27" s="40">
        <f t="shared" si="38"/>
        <v>41316.075715200008</v>
      </c>
      <c r="CQ27" s="40">
        <f t="shared" si="39"/>
        <v>41316.075715200008</v>
      </c>
      <c r="CR27" s="40">
        <f t="shared" si="39"/>
        <v>41316.075715200008</v>
      </c>
      <c r="CS27" s="40">
        <f t="shared" si="39"/>
        <v>41316.075715200008</v>
      </c>
      <c r="CT27" s="40">
        <f t="shared" si="39"/>
        <v>41316.075715200008</v>
      </c>
      <c r="CU27" s="40">
        <f t="shared" si="39"/>
        <v>41316.075715200008</v>
      </c>
      <c r="CV27" s="40">
        <f t="shared" si="39"/>
        <v>41316.075715200008</v>
      </c>
      <c r="CW27" s="40">
        <f t="shared" si="39"/>
        <v>41316.075715200008</v>
      </c>
      <c r="CX27" s="40">
        <f t="shared" si="39"/>
        <v>41316.075715200008</v>
      </c>
      <c r="CY27" s="40">
        <f t="shared" si="39"/>
        <v>41316.075715200008</v>
      </c>
      <c r="CZ27" s="40">
        <f t="shared" si="39"/>
        <v>41316.075715200008</v>
      </c>
      <c r="DA27" s="40">
        <f t="shared" si="40"/>
        <v>41316.075715200008</v>
      </c>
      <c r="DB27" s="40">
        <f t="shared" si="40"/>
        <v>42968.718743808</v>
      </c>
      <c r="DC27" s="40">
        <f t="shared" si="40"/>
        <v>42968.718743808</v>
      </c>
      <c r="DD27" s="40">
        <f t="shared" si="40"/>
        <v>42968.718743808</v>
      </c>
      <c r="DE27" s="40">
        <f t="shared" si="40"/>
        <v>42968.718743808</v>
      </c>
      <c r="DF27" s="40">
        <f t="shared" si="40"/>
        <v>42968.718743808</v>
      </c>
      <c r="DG27" s="40">
        <f t="shared" si="40"/>
        <v>42968.718743808</v>
      </c>
      <c r="DH27" s="40">
        <f t="shared" si="40"/>
        <v>42968.718743808</v>
      </c>
      <c r="DI27" s="40">
        <f t="shared" si="40"/>
        <v>42968.718743808</v>
      </c>
      <c r="DJ27" s="40">
        <f t="shared" si="40"/>
        <v>42968.718743808</v>
      </c>
      <c r="DK27" s="40">
        <f t="shared" si="41"/>
        <v>42968.718743808</v>
      </c>
      <c r="DL27" s="40">
        <f t="shared" si="41"/>
        <v>42968.718743808</v>
      </c>
      <c r="DM27" s="40">
        <f t="shared" si="41"/>
        <v>42968.718743808</v>
      </c>
      <c r="DN27" s="40">
        <f t="shared" si="41"/>
        <v>44687.467493560333</v>
      </c>
      <c r="DO27" s="40">
        <f t="shared" si="41"/>
        <v>44687.467493560333</v>
      </c>
      <c r="DP27" s="40">
        <f t="shared" si="41"/>
        <v>44687.467493560333</v>
      </c>
      <c r="DQ27" s="40">
        <f t="shared" si="41"/>
        <v>44687.467493560333</v>
      </c>
      <c r="DR27" s="40">
        <f t="shared" si="41"/>
        <v>44687.467493560333</v>
      </c>
      <c r="DS27" s="40">
        <f t="shared" si="41"/>
        <v>44687.467493560333</v>
      </c>
      <c r="DT27" s="40">
        <f t="shared" si="41"/>
        <v>44687.467493560333</v>
      </c>
      <c r="DU27" s="40">
        <f t="shared" si="42"/>
        <v>44687.467493560333</v>
      </c>
      <c r="DV27" s="40">
        <f t="shared" si="42"/>
        <v>44687.467493560333</v>
      </c>
      <c r="DW27" s="40">
        <f t="shared" si="42"/>
        <v>44687.467493560333</v>
      </c>
      <c r="DX27" s="40">
        <f t="shared" si="42"/>
        <v>44687.467493560333</v>
      </c>
      <c r="DY27" s="40">
        <f t="shared" si="42"/>
        <v>44687.467493560333</v>
      </c>
      <c r="DZ27" s="40">
        <f t="shared" si="42"/>
        <v>46474.966193302746</v>
      </c>
      <c r="EA27" s="40">
        <f t="shared" si="42"/>
        <v>46474.966193302746</v>
      </c>
      <c r="EB27" s="40">
        <f t="shared" si="42"/>
        <v>46474.966193302746</v>
      </c>
      <c r="EC27" s="40">
        <f t="shared" si="42"/>
        <v>46474.966193302746</v>
      </c>
      <c r="ED27" s="40">
        <f t="shared" si="42"/>
        <v>46474.966193302746</v>
      </c>
      <c r="EE27" s="40">
        <f t="shared" si="43"/>
        <v>46474.966193302746</v>
      </c>
      <c r="EF27" s="40">
        <f t="shared" si="43"/>
        <v>46474.966193302746</v>
      </c>
      <c r="EG27" s="40">
        <f t="shared" si="43"/>
        <v>46474.966193302746</v>
      </c>
      <c r="EH27" s="40">
        <f t="shared" si="43"/>
        <v>46474.966193302746</v>
      </c>
      <c r="EI27" s="40">
        <f t="shared" si="43"/>
        <v>46474.966193302746</v>
      </c>
      <c r="EJ27" s="40">
        <f t="shared" si="43"/>
        <v>46474.966193302746</v>
      </c>
      <c r="EK27" s="40">
        <f t="shared" si="43"/>
        <v>46474.966193302746</v>
      </c>
      <c r="EL27" s="40">
        <f t="shared" si="43"/>
        <v>48333.964841034853</v>
      </c>
      <c r="EM27" s="40">
        <f t="shared" si="43"/>
        <v>48333.964841034853</v>
      </c>
      <c r="EN27" s="40">
        <f t="shared" si="43"/>
        <v>48333.964841034853</v>
      </c>
    </row>
    <row r="28" spans="2:144" x14ac:dyDescent="0.35">
      <c r="B28" s="37" t="s">
        <v>302</v>
      </c>
      <c r="C28" s="19" t="s">
        <v>303</v>
      </c>
      <c r="D28" s="20">
        <v>117000</v>
      </c>
      <c r="E28" s="18">
        <f t="shared" si="8"/>
        <v>9.6470976253298146E-2</v>
      </c>
      <c r="F28" s="38">
        <v>41640</v>
      </c>
      <c r="G28" s="38">
        <v>45352</v>
      </c>
      <c r="H28" s="32">
        <v>3.88</v>
      </c>
      <c r="I28" s="28">
        <f t="shared" si="9"/>
        <v>453960</v>
      </c>
      <c r="J28" s="26">
        <v>0</v>
      </c>
      <c r="K28" s="37" t="s">
        <v>266</v>
      </c>
      <c r="L28" s="32">
        <v>7</v>
      </c>
      <c r="M28" s="37" t="s">
        <v>278</v>
      </c>
      <c r="N28" s="39">
        <f t="shared" si="10"/>
        <v>-119</v>
      </c>
      <c r="O28" s="39">
        <f t="shared" si="11"/>
        <v>3</v>
      </c>
      <c r="P28" s="39">
        <f t="shared" si="12"/>
        <v>4</v>
      </c>
      <c r="Q28" s="39">
        <f t="shared" si="13"/>
        <v>3</v>
      </c>
      <c r="R28" s="39">
        <f t="shared" si="14"/>
        <v>7</v>
      </c>
      <c r="S28" s="39">
        <f t="shared" si="15"/>
        <v>1</v>
      </c>
      <c r="T28" s="39">
        <f t="shared" si="16"/>
        <v>8</v>
      </c>
      <c r="U28" s="39">
        <f t="shared" si="17"/>
        <v>1</v>
      </c>
      <c r="V28" s="39">
        <f t="shared" si="18"/>
        <v>277875</v>
      </c>
      <c r="W28" s="39">
        <f>IF(D28="",0,Retention_Ratio*LC_Ren*LeaseTermYrs*'Rent Roll'!D28*'Rent Roll'!X28+(1-Retention_Ratio)*LC_Ren*LeaseTermYrs*'Rent Roll'!D28*'Rent Roll'!X28)</f>
        <v>122849.99999999999</v>
      </c>
      <c r="X28" s="25">
        <f t="shared" si="19"/>
        <v>7</v>
      </c>
      <c r="Y28" s="40">
        <f t="shared" si="32"/>
        <v>37830</v>
      </c>
      <c r="Z28" s="40">
        <f t="shared" si="32"/>
        <v>37830</v>
      </c>
      <c r="AA28" s="40">
        <f t="shared" si="32"/>
        <v>37830</v>
      </c>
      <c r="AB28" s="40">
        <f t="shared" si="32"/>
        <v>0</v>
      </c>
      <c r="AC28" s="40">
        <f t="shared" si="32"/>
        <v>0</v>
      </c>
      <c r="AD28" s="40">
        <f t="shared" si="32"/>
        <v>0</v>
      </c>
      <c r="AE28" s="40">
        <f t="shared" si="32"/>
        <v>0</v>
      </c>
      <c r="AF28" s="40">
        <f t="shared" si="32"/>
        <v>68250</v>
      </c>
      <c r="AG28" s="40">
        <f t="shared" si="32"/>
        <v>68250</v>
      </c>
      <c r="AH28" s="40">
        <f t="shared" si="32"/>
        <v>68250</v>
      </c>
      <c r="AI28" s="40">
        <f t="shared" si="33"/>
        <v>68250</v>
      </c>
      <c r="AJ28" s="40">
        <f t="shared" si="33"/>
        <v>68250</v>
      </c>
      <c r="AK28" s="40">
        <f t="shared" si="33"/>
        <v>68250</v>
      </c>
      <c r="AL28" s="40">
        <f t="shared" si="33"/>
        <v>68250</v>
      </c>
      <c r="AM28" s="40">
        <f t="shared" si="33"/>
        <v>68250</v>
      </c>
      <c r="AN28" s="40">
        <f t="shared" si="33"/>
        <v>68250</v>
      </c>
      <c r="AO28" s="40">
        <f t="shared" si="33"/>
        <v>68250</v>
      </c>
      <c r="AP28" s="40">
        <f t="shared" si="33"/>
        <v>68250</v>
      </c>
      <c r="AQ28" s="40">
        <f t="shared" si="33"/>
        <v>68250</v>
      </c>
      <c r="AR28" s="40">
        <f t="shared" si="33"/>
        <v>68250</v>
      </c>
      <c r="AS28" s="40">
        <f t="shared" si="34"/>
        <v>68250</v>
      </c>
      <c r="AT28" s="40">
        <f t="shared" si="34"/>
        <v>68250</v>
      </c>
      <c r="AU28" s="40">
        <f t="shared" si="34"/>
        <v>68250</v>
      </c>
      <c r="AV28" s="40">
        <f t="shared" si="34"/>
        <v>68250</v>
      </c>
      <c r="AW28" s="40">
        <f t="shared" si="34"/>
        <v>68250</v>
      </c>
      <c r="AX28" s="40">
        <f t="shared" si="34"/>
        <v>68250</v>
      </c>
      <c r="AY28" s="40">
        <f t="shared" si="34"/>
        <v>68250</v>
      </c>
      <c r="AZ28" s="40">
        <f t="shared" si="34"/>
        <v>68250</v>
      </c>
      <c r="BA28" s="40">
        <f t="shared" si="34"/>
        <v>68250</v>
      </c>
      <c r="BB28" s="40">
        <f t="shared" si="34"/>
        <v>68250</v>
      </c>
      <c r="BC28" s="40">
        <f t="shared" si="35"/>
        <v>68250</v>
      </c>
      <c r="BD28" s="40">
        <f t="shared" si="35"/>
        <v>68250</v>
      </c>
      <c r="BE28" s="40">
        <f t="shared" si="35"/>
        <v>68250</v>
      </c>
      <c r="BF28" s="40">
        <f t="shared" si="35"/>
        <v>68250</v>
      </c>
      <c r="BG28" s="40">
        <f t="shared" si="35"/>
        <v>68250</v>
      </c>
      <c r="BH28" s="40">
        <f t="shared" si="35"/>
        <v>68250</v>
      </c>
      <c r="BI28" s="40">
        <f t="shared" si="35"/>
        <v>68250</v>
      </c>
      <c r="BJ28" s="40">
        <f t="shared" si="35"/>
        <v>68250</v>
      </c>
      <c r="BK28" s="40">
        <f t="shared" si="35"/>
        <v>68250</v>
      </c>
      <c r="BL28" s="40">
        <f t="shared" si="35"/>
        <v>68250</v>
      </c>
      <c r="BM28" s="40">
        <f t="shared" si="36"/>
        <v>68250</v>
      </c>
      <c r="BN28" s="40">
        <f t="shared" si="36"/>
        <v>68250</v>
      </c>
      <c r="BO28" s="40">
        <f t="shared" si="36"/>
        <v>68250</v>
      </c>
      <c r="BP28" s="40">
        <f t="shared" si="36"/>
        <v>68250</v>
      </c>
      <c r="BQ28" s="40">
        <f t="shared" si="36"/>
        <v>68250</v>
      </c>
      <c r="BR28" s="40">
        <f t="shared" si="36"/>
        <v>68250</v>
      </c>
      <c r="BS28" s="40">
        <f t="shared" si="36"/>
        <v>68250</v>
      </c>
      <c r="BT28" s="40">
        <f t="shared" si="36"/>
        <v>68250</v>
      </c>
      <c r="BU28" s="40">
        <f t="shared" si="36"/>
        <v>68250</v>
      </c>
      <c r="BV28" s="40">
        <f t="shared" si="36"/>
        <v>68250</v>
      </c>
      <c r="BW28" s="40">
        <f t="shared" si="37"/>
        <v>68250</v>
      </c>
      <c r="BX28" s="40">
        <f t="shared" si="37"/>
        <v>68250</v>
      </c>
      <c r="BY28" s="40">
        <f t="shared" si="37"/>
        <v>68250</v>
      </c>
      <c r="BZ28" s="40">
        <f t="shared" si="37"/>
        <v>68250</v>
      </c>
      <c r="CA28" s="40">
        <f t="shared" si="37"/>
        <v>68250</v>
      </c>
      <c r="CB28" s="40">
        <f t="shared" si="37"/>
        <v>68250</v>
      </c>
      <c r="CC28" s="40">
        <f t="shared" si="37"/>
        <v>68250</v>
      </c>
      <c r="CD28" s="40">
        <f t="shared" si="37"/>
        <v>68250</v>
      </c>
      <c r="CE28" s="40">
        <f t="shared" si="37"/>
        <v>68250</v>
      </c>
      <c r="CF28" s="40">
        <f t="shared" si="37"/>
        <v>68250</v>
      </c>
      <c r="CG28" s="40">
        <f t="shared" si="38"/>
        <v>68250</v>
      </c>
      <c r="CH28" s="40">
        <f t="shared" si="38"/>
        <v>68250</v>
      </c>
      <c r="CI28" s="40">
        <f t="shared" si="38"/>
        <v>68250</v>
      </c>
      <c r="CJ28" s="40">
        <f t="shared" si="38"/>
        <v>68250</v>
      </c>
      <c r="CK28" s="40">
        <f t="shared" si="38"/>
        <v>68250</v>
      </c>
      <c r="CL28" s="40">
        <f t="shared" si="38"/>
        <v>68250</v>
      </c>
      <c r="CM28" s="40">
        <f t="shared" si="38"/>
        <v>68250</v>
      </c>
      <c r="CN28" s="40">
        <f t="shared" si="38"/>
        <v>68250</v>
      </c>
      <c r="CO28" s="40">
        <f t="shared" si="38"/>
        <v>68250</v>
      </c>
      <c r="CP28" s="40">
        <f t="shared" si="38"/>
        <v>68250</v>
      </c>
      <c r="CQ28" s="40">
        <f t="shared" si="39"/>
        <v>68250</v>
      </c>
      <c r="CR28" s="40">
        <f t="shared" si="39"/>
        <v>68250</v>
      </c>
      <c r="CS28" s="40">
        <f t="shared" si="39"/>
        <v>68250</v>
      </c>
      <c r="CT28" s="40">
        <f t="shared" si="39"/>
        <v>68250</v>
      </c>
      <c r="CU28" s="40">
        <f t="shared" si="39"/>
        <v>68250</v>
      </c>
      <c r="CV28" s="40">
        <f t="shared" si="39"/>
        <v>68250</v>
      </c>
      <c r="CW28" s="40">
        <f t="shared" si="39"/>
        <v>68250</v>
      </c>
      <c r="CX28" s="40">
        <f t="shared" si="39"/>
        <v>68250</v>
      </c>
      <c r="CY28" s="40">
        <f t="shared" si="39"/>
        <v>68250</v>
      </c>
      <c r="CZ28" s="40">
        <f t="shared" si="39"/>
        <v>68250</v>
      </c>
      <c r="DA28" s="40">
        <f t="shared" si="40"/>
        <v>68250</v>
      </c>
      <c r="DB28" s="40">
        <f t="shared" si="40"/>
        <v>68250</v>
      </c>
      <c r="DC28" s="40">
        <f t="shared" si="40"/>
        <v>68250</v>
      </c>
      <c r="DD28" s="40">
        <f t="shared" si="40"/>
        <v>68250</v>
      </c>
      <c r="DE28" s="40">
        <f t="shared" si="40"/>
        <v>68250</v>
      </c>
      <c r="DF28" s="40">
        <f t="shared" si="40"/>
        <v>68250</v>
      </c>
      <c r="DG28" s="40">
        <f t="shared" si="40"/>
        <v>68250</v>
      </c>
      <c r="DH28" s="40">
        <f t="shared" si="40"/>
        <v>68250</v>
      </c>
      <c r="DI28" s="40">
        <f t="shared" si="40"/>
        <v>68250</v>
      </c>
      <c r="DJ28" s="40">
        <f t="shared" si="40"/>
        <v>68250</v>
      </c>
      <c r="DK28" s="40">
        <f t="shared" si="41"/>
        <v>68250</v>
      </c>
      <c r="DL28" s="40">
        <f t="shared" si="41"/>
        <v>68250</v>
      </c>
      <c r="DM28" s="40">
        <f t="shared" si="41"/>
        <v>68250</v>
      </c>
      <c r="DN28" s="40">
        <f t="shared" si="41"/>
        <v>68250</v>
      </c>
      <c r="DO28" s="40">
        <f t="shared" si="41"/>
        <v>68250</v>
      </c>
      <c r="DP28" s="40">
        <f t="shared" si="41"/>
        <v>68250</v>
      </c>
      <c r="DQ28" s="40">
        <f t="shared" si="41"/>
        <v>68250</v>
      </c>
      <c r="DR28" s="40">
        <f t="shared" si="41"/>
        <v>68250</v>
      </c>
      <c r="DS28" s="40">
        <f t="shared" si="41"/>
        <v>68250</v>
      </c>
      <c r="DT28" s="40">
        <f t="shared" si="41"/>
        <v>68250</v>
      </c>
      <c r="DU28" s="40">
        <f t="shared" si="42"/>
        <v>68250</v>
      </c>
      <c r="DV28" s="40">
        <f t="shared" si="42"/>
        <v>68250</v>
      </c>
      <c r="DW28" s="40">
        <f t="shared" si="42"/>
        <v>68250</v>
      </c>
      <c r="DX28" s="40">
        <f t="shared" si="42"/>
        <v>68250</v>
      </c>
      <c r="DY28" s="40">
        <f t="shared" si="42"/>
        <v>68250</v>
      </c>
      <c r="DZ28" s="40">
        <f t="shared" si="42"/>
        <v>68250</v>
      </c>
      <c r="EA28" s="40">
        <f t="shared" si="42"/>
        <v>68250</v>
      </c>
      <c r="EB28" s="40">
        <f t="shared" si="42"/>
        <v>68250</v>
      </c>
      <c r="EC28" s="40">
        <f t="shared" si="42"/>
        <v>68250</v>
      </c>
      <c r="ED28" s="40">
        <f t="shared" si="42"/>
        <v>68250</v>
      </c>
      <c r="EE28" s="40">
        <f t="shared" si="43"/>
        <v>68250</v>
      </c>
      <c r="EF28" s="40">
        <f t="shared" si="43"/>
        <v>68250</v>
      </c>
      <c r="EG28" s="40">
        <f t="shared" si="43"/>
        <v>68250</v>
      </c>
      <c r="EH28" s="40">
        <f t="shared" si="43"/>
        <v>68250</v>
      </c>
      <c r="EI28" s="40">
        <f t="shared" si="43"/>
        <v>68250</v>
      </c>
      <c r="EJ28" s="40">
        <f t="shared" si="43"/>
        <v>68250</v>
      </c>
      <c r="EK28" s="40">
        <f t="shared" si="43"/>
        <v>68250</v>
      </c>
      <c r="EL28" s="40">
        <f t="shared" si="43"/>
        <v>68250</v>
      </c>
      <c r="EM28" s="40">
        <f t="shared" si="43"/>
        <v>68250</v>
      </c>
      <c r="EN28" s="40">
        <f t="shared" si="43"/>
        <v>68250</v>
      </c>
    </row>
    <row r="29" spans="2:144" x14ac:dyDescent="0.35">
      <c r="B29" s="37" t="s">
        <v>304</v>
      </c>
      <c r="C29" s="19" t="s">
        <v>305</v>
      </c>
      <c r="D29" s="20">
        <v>10000</v>
      </c>
      <c r="E29" s="18">
        <f t="shared" si="8"/>
        <v>8.2453825857519789E-3</v>
      </c>
      <c r="F29" s="38">
        <v>44927</v>
      </c>
      <c r="G29" s="38">
        <v>44927</v>
      </c>
      <c r="H29" s="32">
        <v>0</v>
      </c>
      <c r="I29" s="28">
        <f t="shared" si="9"/>
        <v>0</v>
      </c>
      <c r="J29" s="26">
        <v>0</v>
      </c>
      <c r="K29" s="37" t="s">
        <v>266</v>
      </c>
      <c r="L29" s="32">
        <v>13</v>
      </c>
      <c r="M29" s="37" t="s">
        <v>278</v>
      </c>
      <c r="N29" s="39">
        <f t="shared" si="10"/>
        <v>-11</v>
      </c>
      <c r="O29" s="39">
        <f t="shared" si="11"/>
        <v>-11</v>
      </c>
      <c r="P29" s="39">
        <f t="shared" si="12"/>
        <v>1</v>
      </c>
      <c r="Q29" s="39">
        <f t="shared" si="13"/>
        <v>3</v>
      </c>
      <c r="R29" s="39">
        <f t="shared" si="14"/>
        <v>4</v>
      </c>
      <c r="S29" s="39">
        <f t="shared" si="15"/>
        <v>1</v>
      </c>
      <c r="T29" s="39">
        <f t="shared" si="16"/>
        <v>5</v>
      </c>
      <c r="U29" s="39">
        <f t="shared" si="17"/>
        <v>1</v>
      </c>
      <c r="V29" s="39">
        <f t="shared" si="18"/>
        <v>23750</v>
      </c>
      <c r="W29" s="39">
        <f>IF(D29="",0,Retention_Ratio*LC_Ren*LeaseTermYrs*'Rent Roll'!D29*'Rent Roll'!X29+(1-Retention_Ratio)*LC_Ren*LeaseTermYrs*'Rent Roll'!D29*'Rent Roll'!X29)</f>
        <v>19500</v>
      </c>
      <c r="X29" s="25">
        <f t="shared" si="19"/>
        <v>13</v>
      </c>
      <c r="Y29" s="40">
        <f t="shared" si="32"/>
        <v>0</v>
      </c>
      <c r="Z29" s="40">
        <f t="shared" si="32"/>
        <v>0</v>
      </c>
      <c r="AA29" s="40">
        <f t="shared" si="32"/>
        <v>0</v>
      </c>
      <c r="AB29" s="40">
        <f t="shared" si="32"/>
        <v>0</v>
      </c>
      <c r="AC29" s="40">
        <f t="shared" si="32"/>
        <v>10833.333333333334</v>
      </c>
      <c r="AD29" s="40">
        <f t="shared" si="32"/>
        <v>10833.333333333334</v>
      </c>
      <c r="AE29" s="40">
        <f t="shared" si="32"/>
        <v>10833.333333333334</v>
      </c>
      <c r="AF29" s="40">
        <f t="shared" si="32"/>
        <v>10833.333333333334</v>
      </c>
      <c r="AG29" s="40">
        <f t="shared" si="32"/>
        <v>10833.333333333334</v>
      </c>
      <c r="AH29" s="40">
        <f t="shared" si="32"/>
        <v>10833.333333333334</v>
      </c>
      <c r="AI29" s="40">
        <f t="shared" si="33"/>
        <v>10833.333333333334</v>
      </c>
      <c r="AJ29" s="40">
        <f t="shared" si="33"/>
        <v>10833.333333333334</v>
      </c>
      <c r="AK29" s="40">
        <f t="shared" si="33"/>
        <v>10833.333333333334</v>
      </c>
      <c r="AL29" s="40">
        <f t="shared" si="33"/>
        <v>10833.333333333334</v>
      </c>
      <c r="AM29" s="40">
        <f t="shared" si="33"/>
        <v>10833.333333333334</v>
      </c>
      <c r="AN29" s="40">
        <f t="shared" si="33"/>
        <v>10833.333333333334</v>
      </c>
      <c r="AO29" s="40">
        <f t="shared" si="33"/>
        <v>10833.333333333334</v>
      </c>
      <c r="AP29" s="40">
        <f t="shared" si="33"/>
        <v>10833.333333333334</v>
      </c>
      <c r="AQ29" s="40">
        <f t="shared" si="33"/>
        <v>10833.333333333334</v>
      </c>
      <c r="AR29" s="40">
        <f t="shared" si="33"/>
        <v>10833.333333333334</v>
      </c>
      <c r="AS29" s="40">
        <f t="shared" si="34"/>
        <v>10833.333333333334</v>
      </c>
      <c r="AT29" s="40">
        <f t="shared" si="34"/>
        <v>10833.333333333334</v>
      </c>
      <c r="AU29" s="40">
        <f t="shared" si="34"/>
        <v>10833.333333333334</v>
      </c>
      <c r="AV29" s="40">
        <f t="shared" si="34"/>
        <v>10833.333333333334</v>
      </c>
      <c r="AW29" s="40">
        <f t="shared" si="34"/>
        <v>10833.333333333334</v>
      </c>
      <c r="AX29" s="40">
        <f t="shared" si="34"/>
        <v>10833.333333333334</v>
      </c>
      <c r="AY29" s="40">
        <f t="shared" si="34"/>
        <v>10833.333333333334</v>
      </c>
      <c r="AZ29" s="40">
        <f t="shared" si="34"/>
        <v>10833.333333333334</v>
      </c>
      <c r="BA29" s="40">
        <f t="shared" si="34"/>
        <v>10833.333333333334</v>
      </c>
      <c r="BB29" s="40">
        <f t="shared" si="34"/>
        <v>10833.333333333334</v>
      </c>
      <c r="BC29" s="40">
        <f t="shared" si="35"/>
        <v>10833.333333333334</v>
      </c>
      <c r="BD29" s="40">
        <f t="shared" si="35"/>
        <v>10833.333333333334</v>
      </c>
      <c r="BE29" s="40">
        <f t="shared" si="35"/>
        <v>10833.333333333334</v>
      </c>
      <c r="BF29" s="40">
        <f t="shared" si="35"/>
        <v>10833.333333333334</v>
      </c>
      <c r="BG29" s="40">
        <f t="shared" si="35"/>
        <v>10833.333333333334</v>
      </c>
      <c r="BH29" s="40">
        <f t="shared" si="35"/>
        <v>10833.333333333334</v>
      </c>
      <c r="BI29" s="40">
        <f t="shared" si="35"/>
        <v>10833.333333333334</v>
      </c>
      <c r="BJ29" s="40">
        <f t="shared" si="35"/>
        <v>10833.333333333334</v>
      </c>
      <c r="BK29" s="40">
        <f t="shared" si="35"/>
        <v>10833.333333333334</v>
      </c>
      <c r="BL29" s="40">
        <f t="shared" si="35"/>
        <v>10833.333333333334</v>
      </c>
      <c r="BM29" s="40">
        <f t="shared" si="36"/>
        <v>10833.333333333334</v>
      </c>
      <c r="BN29" s="40">
        <f t="shared" si="36"/>
        <v>10833.333333333334</v>
      </c>
      <c r="BO29" s="40">
        <f t="shared" si="36"/>
        <v>10833.333333333334</v>
      </c>
      <c r="BP29" s="40">
        <f t="shared" si="36"/>
        <v>10833.333333333334</v>
      </c>
      <c r="BQ29" s="40">
        <f t="shared" si="36"/>
        <v>10833.333333333334</v>
      </c>
      <c r="BR29" s="40">
        <f t="shared" si="36"/>
        <v>10833.333333333334</v>
      </c>
      <c r="BS29" s="40">
        <f t="shared" si="36"/>
        <v>10833.333333333334</v>
      </c>
      <c r="BT29" s="40">
        <f t="shared" si="36"/>
        <v>10833.333333333334</v>
      </c>
      <c r="BU29" s="40">
        <f t="shared" si="36"/>
        <v>10833.333333333334</v>
      </c>
      <c r="BV29" s="40">
        <f t="shared" si="36"/>
        <v>10833.333333333334</v>
      </c>
      <c r="BW29" s="40">
        <f t="shared" si="37"/>
        <v>10833.333333333334</v>
      </c>
      <c r="BX29" s="40">
        <f t="shared" si="37"/>
        <v>10833.333333333334</v>
      </c>
      <c r="BY29" s="40">
        <f t="shared" si="37"/>
        <v>10833.333333333334</v>
      </c>
      <c r="BZ29" s="40">
        <f t="shared" si="37"/>
        <v>10833.333333333334</v>
      </c>
      <c r="CA29" s="40">
        <f t="shared" si="37"/>
        <v>10833.333333333334</v>
      </c>
      <c r="CB29" s="40">
        <f t="shared" si="37"/>
        <v>10833.333333333334</v>
      </c>
      <c r="CC29" s="40">
        <f t="shared" si="37"/>
        <v>10833.333333333334</v>
      </c>
      <c r="CD29" s="40">
        <f t="shared" si="37"/>
        <v>10833.333333333334</v>
      </c>
      <c r="CE29" s="40">
        <f t="shared" si="37"/>
        <v>10833.333333333334</v>
      </c>
      <c r="CF29" s="40">
        <f t="shared" si="37"/>
        <v>10833.333333333334</v>
      </c>
      <c r="CG29" s="40">
        <f t="shared" si="38"/>
        <v>10833.333333333334</v>
      </c>
      <c r="CH29" s="40">
        <f t="shared" si="38"/>
        <v>10833.333333333334</v>
      </c>
      <c r="CI29" s="40">
        <f t="shared" si="38"/>
        <v>10833.333333333334</v>
      </c>
      <c r="CJ29" s="40">
        <f t="shared" si="38"/>
        <v>10833.333333333334</v>
      </c>
      <c r="CK29" s="40">
        <f t="shared" si="38"/>
        <v>10833.333333333334</v>
      </c>
      <c r="CL29" s="40">
        <f t="shared" si="38"/>
        <v>10833.333333333334</v>
      </c>
      <c r="CM29" s="40">
        <f t="shared" si="38"/>
        <v>10833.333333333334</v>
      </c>
      <c r="CN29" s="40">
        <f t="shared" si="38"/>
        <v>10833.333333333334</v>
      </c>
      <c r="CO29" s="40">
        <f t="shared" si="38"/>
        <v>10833.333333333334</v>
      </c>
      <c r="CP29" s="40">
        <f t="shared" si="38"/>
        <v>10833.333333333334</v>
      </c>
      <c r="CQ29" s="40">
        <f t="shared" si="39"/>
        <v>10833.333333333334</v>
      </c>
      <c r="CR29" s="40">
        <f t="shared" si="39"/>
        <v>10833.333333333334</v>
      </c>
      <c r="CS29" s="40">
        <f t="shared" si="39"/>
        <v>10833.333333333334</v>
      </c>
      <c r="CT29" s="40">
        <f t="shared" si="39"/>
        <v>10833.333333333334</v>
      </c>
      <c r="CU29" s="40">
        <f t="shared" si="39"/>
        <v>10833.333333333334</v>
      </c>
      <c r="CV29" s="40">
        <f t="shared" si="39"/>
        <v>10833.333333333334</v>
      </c>
      <c r="CW29" s="40">
        <f t="shared" si="39"/>
        <v>10833.333333333334</v>
      </c>
      <c r="CX29" s="40">
        <f t="shared" si="39"/>
        <v>10833.333333333334</v>
      </c>
      <c r="CY29" s="40">
        <f t="shared" si="39"/>
        <v>10833.333333333334</v>
      </c>
      <c r="CZ29" s="40">
        <f t="shared" si="39"/>
        <v>10833.333333333334</v>
      </c>
      <c r="DA29" s="40">
        <f t="shared" si="40"/>
        <v>10833.333333333334</v>
      </c>
      <c r="DB29" s="40">
        <f t="shared" si="40"/>
        <v>10833.333333333334</v>
      </c>
      <c r="DC29" s="40">
        <f t="shared" si="40"/>
        <v>10833.333333333334</v>
      </c>
      <c r="DD29" s="40">
        <f t="shared" si="40"/>
        <v>10833.333333333334</v>
      </c>
      <c r="DE29" s="40">
        <f t="shared" si="40"/>
        <v>10833.333333333334</v>
      </c>
      <c r="DF29" s="40">
        <f t="shared" si="40"/>
        <v>10833.333333333334</v>
      </c>
      <c r="DG29" s="40">
        <f t="shared" si="40"/>
        <v>10833.333333333334</v>
      </c>
      <c r="DH29" s="40">
        <f t="shared" si="40"/>
        <v>10833.333333333334</v>
      </c>
      <c r="DI29" s="40">
        <f t="shared" si="40"/>
        <v>10833.333333333334</v>
      </c>
      <c r="DJ29" s="40">
        <f t="shared" si="40"/>
        <v>10833.333333333334</v>
      </c>
      <c r="DK29" s="40">
        <f t="shared" si="41"/>
        <v>10833.333333333334</v>
      </c>
      <c r="DL29" s="40">
        <f t="shared" si="41"/>
        <v>10833.333333333334</v>
      </c>
      <c r="DM29" s="40">
        <f t="shared" si="41"/>
        <v>10833.333333333334</v>
      </c>
      <c r="DN29" s="40">
        <f t="shared" si="41"/>
        <v>10833.333333333334</v>
      </c>
      <c r="DO29" s="40">
        <f t="shared" si="41"/>
        <v>10833.333333333334</v>
      </c>
      <c r="DP29" s="40">
        <f t="shared" si="41"/>
        <v>10833.333333333334</v>
      </c>
      <c r="DQ29" s="40">
        <f t="shared" si="41"/>
        <v>10833.333333333334</v>
      </c>
      <c r="DR29" s="40">
        <f t="shared" si="41"/>
        <v>10833.333333333334</v>
      </c>
      <c r="DS29" s="40">
        <f t="shared" si="41"/>
        <v>10833.333333333334</v>
      </c>
      <c r="DT29" s="40">
        <f t="shared" si="41"/>
        <v>10833.333333333334</v>
      </c>
      <c r="DU29" s="40">
        <f t="shared" si="42"/>
        <v>10833.333333333334</v>
      </c>
      <c r="DV29" s="40">
        <f t="shared" si="42"/>
        <v>10833.333333333334</v>
      </c>
      <c r="DW29" s="40">
        <f t="shared" si="42"/>
        <v>10833.333333333334</v>
      </c>
      <c r="DX29" s="40">
        <f t="shared" si="42"/>
        <v>10833.333333333334</v>
      </c>
      <c r="DY29" s="40">
        <f t="shared" si="42"/>
        <v>10833.333333333334</v>
      </c>
      <c r="DZ29" s="40">
        <f t="shared" si="42"/>
        <v>10833.333333333334</v>
      </c>
      <c r="EA29" s="40">
        <f t="shared" si="42"/>
        <v>10833.333333333334</v>
      </c>
      <c r="EB29" s="40">
        <f t="shared" si="42"/>
        <v>10833.333333333334</v>
      </c>
      <c r="EC29" s="40">
        <f t="shared" si="42"/>
        <v>10833.333333333334</v>
      </c>
      <c r="ED29" s="40">
        <f t="shared" si="42"/>
        <v>10833.333333333334</v>
      </c>
      <c r="EE29" s="40">
        <f t="shared" si="43"/>
        <v>10833.333333333334</v>
      </c>
      <c r="EF29" s="40">
        <f t="shared" si="43"/>
        <v>10833.333333333334</v>
      </c>
      <c r="EG29" s="40">
        <f t="shared" si="43"/>
        <v>10833.333333333334</v>
      </c>
      <c r="EH29" s="40">
        <f t="shared" si="43"/>
        <v>10833.333333333334</v>
      </c>
      <c r="EI29" s="40">
        <f t="shared" si="43"/>
        <v>10833.333333333334</v>
      </c>
      <c r="EJ29" s="40">
        <f t="shared" si="43"/>
        <v>10833.333333333334</v>
      </c>
      <c r="EK29" s="40">
        <f t="shared" si="43"/>
        <v>10833.333333333334</v>
      </c>
      <c r="EL29" s="40">
        <f t="shared" si="43"/>
        <v>10833.333333333334</v>
      </c>
      <c r="EM29" s="40">
        <f t="shared" si="43"/>
        <v>10833.333333333334</v>
      </c>
      <c r="EN29" s="40">
        <f t="shared" si="43"/>
        <v>10833.333333333334</v>
      </c>
    </row>
    <row r="30" spans="2:144" x14ac:dyDescent="0.35">
      <c r="B30" s="37" t="s">
        <v>306</v>
      </c>
      <c r="C30" s="19" t="s">
        <v>307</v>
      </c>
      <c r="D30" s="20">
        <v>12000</v>
      </c>
      <c r="E30" s="18">
        <f t="shared" si="8"/>
        <v>9.8944591029023754E-3</v>
      </c>
      <c r="F30" s="38">
        <v>44197</v>
      </c>
      <c r="G30" s="38">
        <v>46023</v>
      </c>
      <c r="H30" s="32">
        <v>7.69</v>
      </c>
      <c r="I30" s="28">
        <f t="shared" si="9"/>
        <v>92280</v>
      </c>
      <c r="J30" s="26">
        <v>0.03</v>
      </c>
      <c r="K30" s="37" t="s">
        <v>266</v>
      </c>
      <c r="L30" s="32">
        <v>13</v>
      </c>
      <c r="M30" s="37" t="s">
        <v>267</v>
      </c>
      <c r="N30" s="39">
        <f t="shared" si="10"/>
        <v>-35</v>
      </c>
      <c r="O30" s="39">
        <f t="shared" si="11"/>
        <v>25</v>
      </c>
      <c r="P30" s="39">
        <f t="shared" si="12"/>
        <v>26</v>
      </c>
      <c r="Q30" s="39">
        <f t="shared" si="13"/>
        <v>3</v>
      </c>
      <c r="R30" s="39">
        <f t="shared" si="14"/>
        <v>29</v>
      </c>
      <c r="S30" s="39">
        <f t="shared" si="15"/>
        <v>1</v>
      </c>
      <c r="T30" s="39">
        <f t="shared" si="16"/>
        <v>30</v>
      </c>
      <c r="U30" s="39">
        <f t="shared" si="17"/>
        <v>3</v>
      </c>
      <c r="V30" s="39">
        <f t="shared" si="18"/>
        <v>28500</v>
      </c>
      <c r="W30" s="39">
        <f>IF(D30="",0,Retention_Ratio*LC_Ren*LeaseTermYrs*'Rent Roll'!D30*'Rent Roll'!X30+(1-Retention_Ratio)*LC_Ren*LeaseTermYrs*'Rent Roll'!D30*'Rent Roll'!X30)</f>
        <v>25920.18</v>
      </c>
      <c r="X30" s="25">
        <f t="shared" si="19"/>
        <v>14.4001</v>
      </c>
      <c r="Y30" s="40">
        <f t="shared" ref="Y30:AH39" si="44">IF($D30="",0,IF(Y$5&lt;$N30,0,IF(Y$5&lt;=$O30,$D30*$H30*(1+$J30)^FLOOR((Y$5-1)/12,1)/12,IF(Y$5&lt;$T30,0,$D30*$X30*(1+$J30)^FLOOR((Y$5-$R30)/12,1)/12))))</f>
        <v>7690</v>
      </c>
      <c r="Z30" s="40">
        <f t="shared" si="44"/>
        <v>7690</v>
      </c>
      <c r="AA30" s="40">
        <f t="shared" si="44"/>
        <v>7690</v>
      </c>
      <c r="AB30" s="40">
        <f t="shared" si="44"/>
        <v>7690</v>
      </c>
      <c r="AC30" s="40">
        <f t="shared" si="44"/>
        <v>7690</v>
      </c>
      <c r="AD30" s="40">
        <f t="shared" si="44"/>
        <v>7690</v>
      </c>
      <c r="AE30" s="40">
        <f t="shared" si="44"/>
        <v>7690</v>
      </c>
      <c r="AF30" s="40">
        <f t="shared" si="44"/>
        <v>7690</v>
      </c>
      <c r="AG30" s="40">
        <f t="shared" si="44"/>
        <v>7690</v>
      </c>
      <c r="AH30" s="40">
        <f t="shared" si="44"/>
        <v>7690</v>
      </c>
      <c r="AI30" s="40">
        <f t="shared" ref="AI30:AR39" si="45">IF($D30="",0,IF(AI$5&lt;$N30,0,IF(AI$5&lt;=$O30,$D30*$H30*(1+$J30)^FLOOR((AI$5-1)/12,1)/12,IF(AI$5&lt;$T30,0,$D30*$X30*(1+$J30)^FLOOR((AI$5-$R30)/12,1)/12))))</f>
        <v>7690</v>
      </c>
      <c r="AJ30" s="40">
        <f t="shared" si="45"/>
        <v>7690</v>
      </c>
      <c r="AK30" s="40">
        <f t="shared" si="45"/>
        <v>7920.7000000000007</v>
      </c>
      <c r="AL30" s="40">
        <f t="shared" si="45"/>
        <v>7920.7000000000007</v>
      </c>
      <c r="AM30" s="40">
        <f t="shared" si="45"/>
        <v>7920.7000000000007</v>
      </c>
      <c r="AN30" s="40">
        <f t="shared" si="45"/>
        <v>7920.7000000000007</v>
      </c>
      <c r="AO30" s="40">
        <f t="shared" si="45"/>
        <v>7920.7000000000007</v>
      </c>
      <c r="AP30" s="40">
        <f t="shared" si="45"/>
        <v>7920.7000000000007</v>
      </c>
      <c r="AQ30" s="40">
        <f t="shared" si="45"/>
        <v>7920.7000000000007</v>
      </c>
      <c r="AR30" s="40">
        <f t="shared" si="45"/>
        <v>7920.7000000000007</v>
      </c>
      <c r="AS30" s="40">
        <f t="shared" ref="AS30:BB39" si="46">IF($D30="",0,IF(AS$5&lt;$N30,0,IF(AS$5&lt;=$O30,$D30*$H30*(1+$J30)^FLOOR((AS$5-1)/12,1)/12,IF(AS$5&lt;$T30,0,$D30*$X30*(1+$J30)^FLOOR((AS$5-$R30)/12,1)/12))))</f>
        <v>7920.7000000000007</v>
      </c>
      <c r="AT30" s="40">
        <f t="shared" si="46"/>
        <v>7920.7000000000007</v>
      </c>
      <c r="AU30" s="40">
        <f t="shared" si="46"/>
        <v>7920.7000000000007</v>
      </c>
      <c r="AV30" s="40">
        <f t="shared" si="46"/>
        <v>7920.7000000000007</v>
      </c>
      <c r="AW30" s="40">
        <f t="shared" si="46"/>
        <v>8158.3209999999999</v>
      </c>
      <c r="AX30" s="40">
        <f t="shared" si="46"/>
        <v>0</v>
      </c>
      <c r="AY30" s="40">
        <f t="shared" si="46"/>
        <v>0</v>
      </c>
      <c r="AZ30" s="40">
        <f t="shared" si="46"/>
        <v>0</v>
      </c>
      <c r="BA30" s="40">
        <f t="shared" si="46"/>
        <v>0</v>
      </c>
      <c r="BB30" s="40">
        <f t="shared" si="46"/>
        <v>14400.1</v>
      </c>
      <c r="BC30" s="40">
        <f t="shared" ref="BC30:BL39" si="47">IF($D30="",0,IF(BC$5&lt;$N30,0,IF(BC$5&lt;=$O30,$D30*$H30*(1+$J30)^FLOOR((BC$5-1)/12,1)/12,IF(BC$5&lt;$T30,0,$D30*$X30*(1+$J30)^FLOOR((BC$5-$R30)/12,1)/12))))</f>
        <v>14400.1</v>
      </c>
      <c r="BD30" s="40">
        <f t="shared" si="47"/>
        <v>14400.1</v>
      </c>
      <c r="BE30" s="40">
        <f t="shared" si="47"/>
        <v>14400.1</v>
      </c>
      <c r="BF30" s="40">
        <f t="shared" si="47"/>
        <v>14400.1</v>
      </c>
      <c r="BG30" s="40">
        <f t="shared" si="47"/>
        <v>14400.1</v>
      </c>
      <c r="BH30" s="40">
        <f t="shared" si="47"/>
        <v>14400.1</v>
      </c>
      <c r="BI30" s="40">
        <f t="shared" si="47"/>
        <v>14400.1</v>
      </c>
      <c r="BJ30" s="40">
        <f t="shared" si="47"/>
        <v>14400.1</v>
      </c>
      <c r="BK30" s="40">
        <f t="shared" si="47"/>
        <v>14400.1</v>
      </c>
      <c r="BL30" s="40">
        <f t="shared" si="47"/>
        <v>14400.1</v>
      </c>
      <c r="BM30" s="40">
        <f t="shared" ref="BM30:BV39" si="48">IF($D30="",0,IF(BM$5&lt;$N30,0,IF(BM$5&lt;=$O30,$D30*$H30*(1+$J30)^FLOOR((BM$5-1)/12,1)/12,IF(BM$5&lt;$T30,0,$D30*$X30*(1+$J30)^FLOOR((BM$5-$R30)/12,1)/12))))</f>
        <v>14832.103000000001</v>
      </c>
      <c r="BN30" s="40">
        <f t="shared" si="48"/>
        <v>14832.103000000001</v>
      </c>
      <c r="BO30" s="40">
        <f t="shared" si="48"/>
        <v>14832.103000000001</v>
      </c>
      <c r="BP30" s="40">
        <f t="shared" si="48"/>
        <v>14832.103000000001</v>
      </c>
      <c r="BQ30" s="40">
        <f t="shared" si="48"/>
        <v>14832.103000000001</v>
      </c>
      <c r="BR30" s="40">
        <f t="shared" si="48"/>
        <v>14832.103000000001</v>
      </c>
      <c r="BS30" s="40">
        <f t="shared" si="48"/>
        <v>14832.103000000001</v>
      </c>
      <c r="BT30" s="40">
        <f t="shared" si="48"/>
        <v>14832.103000000001</v>
      </c>
      <c r="BU30" s="40">
        <f t="shared" si="48"/>
        <v>14832.103000000001</v>
      </c>
      <c r="BV30" s="40">
        <f t="shared" si="48"/>
        <v>14832.103000000001</v>
      </c>
      <c r="BW30" s="40">
        <f t="shared" ref="BW30:CF39" si="49">IF($D30="",0,IF(BW$5&lt;$N30,0,IF(BW$5&lt;=$O30,$D30*$H30*(1+$J30)^FLOOR((BW$5-1)/12,1)/12,IF(BW$5&lt;$T30,0,$D30*$X30*(1+$J30)^FLOOR((BW$5-$R30)/12,1)/12))))</f>
        <v>14832.103000000001</v>
      </c>
      <c r="BX30" s="40">
        <f t="shared" si="49"/>
        <v>14832.103000000001</v>
      </c>
      <c r="BY30" s="40">
        <f t="shared" si="49"/>
        <v>15277.06609</v>
      </c>
      <c r="BZ30" s="40">
        <f t="shared" si="49"/>
        <v>15277.06609</v>
      </c>
      <c r="CA30" s="40">
        <f t="shared" si="49"/>
        <v>15277.06609</v>
      </c>
      <c r="CB30" s="40">
        <f t="shared" si="49"/>
        <v>15277.06609</v>
      </c>
      <c r="CC30" s="40">
        <f t="shared" si="49"/>
        <v>15277.06609</v>
      </c>
      <c r="CD30" s="40">
        <f t="shared" si="49"/>
        <v>15277.06609</v>
      </c>
      <c r="CE30" s="40">
        <f t="shared" si="49"/>
        <v>15277.06609</v>
      </c>
      <c r="CF30" s="40">
        <f t="shared" si="49"/>
        <v>15277.06609</v>
      </c>
      <c r="CG30" s="40">
        <f t="shared" ref="CG30:CP39" si="50">IF($D30="",0,IF(CG$5&lt;$N30,0,IF(CG$5&lt;=$O30,$D30*$H30*(1+$J30)^FLOOR((CG$5-1)/12,1)/12,IF(CG$5&lt;$T30,0,$D30*$X30*(1+$J30)^FLOOR((CG$5-$R30)/12,1)/12))))</f>
        <v>15277.06609</v>
      </c>
      <c r="CH30" s="40">
        <f t="shared" si="50"/>
        <v>15277.06609</v>
      </c>
      <c r="CI30" s="40">
        <f t="shared" si="50"/>
        <v>15277.06609</v>
      </c>
      <c r="CJ30" s="40">
        <f t="shared" si="50"/>
        <v>15277.06609</v>
      </c>
      <c r="CK30" s="40">
        <f t="shared" si="50"/>
        <v>15735.378072699999</v>
      </c>
      <c r="CL30" s="40">
        <f t="shared" si="50"/>
        <v>15735.378072699999</v>
      </c>
      <c r="CM30" s="40">
        <f t="shared" si="50"/>
        <v>15735.378072699999</v>
      </c>
      <c r="CN30" s="40">
        <f t="shared" si="50"/>
        <v>15735.378072699999</v>
      </c>
      <c r="CO30" s="40">
        <f t="shared" si="50"/>
        <v>15735.378072699999</v>
      </c>
      <c r="CP30" s="40">
        <f t="shared" si="50"/>
        <v>15735.378072699999</v>
      </c>
      <c r="CQ30" s="40">
        <f t="shared" ref="CQ30:CZ39" si="51">IF($D30="",0,IF(CQ$5&lt;$N30,0,IF(CQ$5&lt;=$O30,$D30*$H30*(1+$J30)^FLOOR((CQ$5-1)/12,1)/12,IF(CQ$5&lt;$T30,0,$D30*$X30*(1+$J30)^FLOOR((CQ$5-$R30)/12,1)/12))))</f>
        <v>15735.378072699999</v>
      </c>
      <c r="CR30" s="40">
        <f t="shared" si="51"/>
        <v>15735.378072699999</v>
      </c>
      <c r="CS30" s="40">
        <f t="shared" si="51"/>
        <v>15735.378072699999</v>
      </c>
      <c r="CT30" s="40">
        <f t="shared" si="51"/>
        <v>15735.378072699999</v>
      </c>
      <c r="CU30" s="40">
        <f t="shared" si="51"/>
        <v>15735.378072699999</v>
      </c>
      <c r="CV30" s="40">
        <f t="shared" si="51"/>
        <v>15735.378072699999</v>
      </c>
      <c r="CW30" s="40">
        <f t="shared" si="51"/>
        <v>16207.439414881001</v>
      </c>
      <c r="CX30" s="40">
        <f t="shared" si="51"/>
        <v>16207.439414881001</v>
      </c>
      <c r="CY30" s="40">
        <f t="shared" si="51"/>
        <v>16207.439414881001</v>
      </c>
      <c r="CZ30" s="40">
        <f t="shared" si="51"/>
        <v>16207.439414881001</v>
      </c>
      <c r="DA30" s="40">
        <f t="shared" ref="DA30:DJ39" si="52">IF($D30="",0,IF(DA$5&lt;$N30,0,IF(DA$5&lt;=$O30,$D30*$H30*(1+$J30)^FLOOR((DA$5-1)/12,1)/12,IF(DA$5&lt;$T30,0,$D30*$X30*(1+$J30)^FLOOR((DA$5-$R30)/12,1)/12))))</f>
        <v>16207.439414881001</v>
      </c>
      <c r="DB30" s="40">
        <f t="shared" si="52"/>
        <v>16207.439414881001</v>
      </c>
      <c r="DC30" s="40">
        <f t="shared" si="52"/>
        <v>16207.439414881001</v>
      </c>
      <c r="DD30" s="40">
        <f t="shared" si="52"/>
        <v>16207.439414881001</v>
      </c>
      <c r="DE30" s="40">
        <f t="shared" si="52"/>
        <v>16207.439414881001</v>
      </c>
      <c r="DF30" s="40">
        <f t="shared" si="52"/>
        <v>16207.439414881001</v>
      </c>
      <c r="DG30" s="40">
        <f t="shared" si="52"/>
        <v>16207.439414881001</v>
      </c>
      <c r="DH30" s="40">
        <f t="shared" si="52"/>
        <v>16207.439414881001</v>
      </c>
      <c r="DI30" s="40">
        <f t="shared" si="52"/>
        <v>16693.662597327431</v>
      </c>
      <c r="DJ30" s="40">
        <f t="shared" si="52"/>
        <v>16693.662597327431</v>
      </c>
      <c r="DK30" s="40">
        <f t="shared" ref="DK30:DT39" si="53">IF($D30="",0,IF(DK$5&lt;$N30,0,IF(DK$5&lt;=$O30,$D30*$H30*(1+$J30)^FLOOR((DK$5-1)/12,1)/12,IF(DK$5&lt;$T30,0,$D30*$X30*(1+$J30)^FLOOR((DK$5-$R30)/12,1)/12))))</f>
        <v>16693.662597327431</v>
      </c>
      <c r="DL30" s="40">
        <f t="shared" si="53"/>
        <v>16693.662597327431</v>
      </c>
      <c r="DM30" s="40">
        <f t="shared" si="53"/>
        <v>16693.662597327431</v>
      </c>
      <c r="DN30" s="40">
        <f t="shared" si="53"/>
        <v>16693.662597327431</v>
      </c>
      <c r="DO30" s="40">
        <f t="shared" si="53"/>
        <v>16693.662597327431</v>
      </c>
      <c r="DP30" s="40">
        <f t="shared" si="53"/>
        <v>16693.662597327431</v>
      </c>
      <c r="DQ30" s="40">
        <f t="shared" si="53"/>
        <v>16693.662597327431</v>
      </c>
      <c r="DR30" s="40">
        <f t="shared" si="53"/>
        <v>16693.662597327431</v>
      </c>
      <c r="DS30" s="40">
        <f t="shared" si="53"/>
        <v>16693.662597327431</v>
      </c>
      <c r="DT30" s="40">
        <f t="shared" si="53"/>
        <v>16693.662597327431</v>
      </c>
      <c r="DU30" s="40">
        <f t="shared" ref="DU30:ED39" si="54">IF($D30="",0,IF(DU$5&lt;$N30,0,IF(DU$5&lt;=$O30,$D30*$H30*(1+$J30)^FLOOR((DU$5-1)/12,1)/12,IF(DU$5&lt;$T30,0,$D30*$X30*(1+$J30)^FLOOR((DU$5-$R30)/12,1)/12))))</f>
        <v>17194.472475247254</v>
      </c>
      <c r="DV30" s="40">
        <f t="shared" si="54"/>
        <v>17194.472475247254</v>
      </c>
      <c r="DW30" s="40">
        <f t="shared" si="54"/>
        <v>17194.472475247254</v>
      </c>
      <c r="DX30" s="40">
        <f t="shared" si="54"/>
        <v>17194.472475247254</v>
      </c>
      <c r="DY30" s="40">
        <f t="shared" si="54"/>
        <v>17194.472475247254</v>
      </c>
      <c r="DZ30" s="40">
        <f t="shared" si="54"/>
        <v>17194.472475247254</v>
      </c>
      <c r="EA30" s="40">
        <f t="shared" si="54"/>
        <v>17194.472475247254</v>
      </c>
      <c r="EB30" s="40">
        <f t="shared" si="54"/>
        <v>17194.472475247254</v>
      </c>
      <c r="EC30" s="40">
        <f t="shared" si="54"/>
        <v>17194.472475247254</v>
      </c>
      <c r="ED30" s="40">
        <f t="shared" si="54"/>
        <v>17194.472475247254</v>
      </c>
      <c r="EE30" s="40">
        <f t="shared" ref="EE30:EN39" si="55">IF($D30="",0,IF(EE$5&lt;$N30,0,IF(EE$5&lt;=$O30,$D30*$H30*(1+$J30)^FLOOR((EE$5-1)/12,1)/12,IF(EE$5&lt;$T30,0,$D30*$X30*(1+$J30)^FLOOR((EE$5-$R30)/12,1)/12))))</f>
        <v>17194.472475247254</v>
      </c>
      <c r="EF30" s="40">
        <f t="shared" si="55"/>
        <v>17194.472475247254</v>
      </c>
      <c r="EG30" s="40">
        <f t="shared" si="55"/>
        <v>17710.30664950467</v>
      </c>
      <c r="EH30" s="40">
        <f t="shared" si="55"/>
        <v>17710.30664950467</v>
      </c>
      <c r="EI30" s="40">
        <f t="shared" si="55"/>
        <v>17710.30664950467</v>
      </c>
      <c r="EJ30" s="40">
        <f t="shared" si="55"/>
        <v>17710.30664950467</v>
      </c>
      <c r="EK30" s="40">
        <f t="shared" si="55"/>
        <v>17710.30664950467</v>
      </c>
      <c r="EL30" s="40">
        <f t="shared" si="55"/>
        <v>17710.30664950467</v>
      </c>
      <c r="EM30" s="40">
        <f t="shared" si="55"/>
        <v>17710.30664950467</v>
      </c>
      <c r="EN30" s="40">
        <f t="shared" si="55"/>
        <v>17710.30664950467</v>
      </c>
    </row>
    <row r="31" spans="2:144" x14ac:dyDescent="0.35">
      <c r="B31" s="37" t="s">
        <v>308</v>
      </c>
      <c r="C31" s="19" t="s">
        <v>309</v>
      </c>
      <c r="D31" s="20">
        <v>84500</v>
      </c>
      <c r="E31" s="18">
        <f t="shared" si="8"/>
        <v>6.9673482849604215E-2</v>
      </c>
      <c r="F31" s="38">
        <v>40026</v>
      </c>
      <c r="G31" s="38">
        <v>45597</v>
      </c>
      <c r="H31" s="32">
        <v>5.74</v>
      </c>
      <c r="I31" s="28">
        <f t="shared" si="9"/>
        <v>485030</v>
      </c>
      <c r="J31" s="26">
        <v>0.03</v>
      </c>
      <c r="K31" s="37" t="s">
        <v>266</v>
      </c>
      <c r="L31" s="32">
        <v>9</v>
      </c>
      <c r="M31" s="37" t="s">
        <v>278</v>
      </c>
      <c r="N31" s="39">
        <f t="shared" si="10"/>
        <v>-172</v>
      </c>
      <c r="O31" s="39">
        <f t="shared" si="11"/>
        <v>11</v>
      </c>
      <c r="P31" s="39">
        <f t="shared" si="12"/>
        <v>12</v>
      </c>
      <c r="Q31" s="39">
        <f t="shared" si="13"/>
        <v>3</v>
      </c>
      <c r="R31" s="39">
        <f t="shared" si="14"/>
        <v>15</v>
      </c>
      <c r="S31" s="39">
        <f t="shared" si="15"/>
        <v>1</v>
      </c>
      <c r="T31" s="39">
        <f t="shared" si="16"/>
        <v>16</v>
      </c>
      <c r="U31" s="39">
        <f t="shared" si="17"/>
        <v>2</v>
      </c>
      <c r="V31" s="39">
        <f t="shared" si="18"/>
        <v>200687.5</v>
      </c>
      <c r="W31" s="39">
        <f>IF(D31="",0,Retention_Ratio*LC_Ren*LeaseTermYrs*'Rent Roll'!D31*'Rent Roll'!X31+(1-Retention_Ratio)*LC_Ren*LeaseTermYrs*'Rent Roll'!D31*'Rent Roll'!X31)</f>
        <v>120919.49999999999</v>
      </c>
      <c r="X31" s="25">
        <f t="shared" si="19"/>
        <v>9.5400000000000009</v>
      </c>
      <c r="Y31" s="40">
        <f t="shared" si="44"/>
        <v>40419.166666666664</v>
      </c>
      <c r="Z31" s="40">
        <f t="shared" si="44"/>
        <v>40419.166666666664</v>
      </c>
      <c r="AA31" s="40">
        <f t="shared" si="44"/>
        <v>40419.166666666664</v>
      </c>
      <c r="AB31" s="40">
        <f t="shared" si="44"/>
        <v>40419.166666666664</v>
      </c>
      <c r="AC31" s="40">
        <f t="shared" si="44"/>
        <v>40419.166666666664</v>
      </c>
      <c r="AD31" s="40">
        <f t="shared" si="44"/>
        <v>40419.166666666664</v>
      </c>
      <c r="AE31" s="40">
        <f t="shared" si="44"/>
        <v>40419.166666666664</v>
      </c>
      <c r="AF31" s="40">
        <f t="shared" si="44"/>
        <v>40419.166666666664</v>
      </c>
      <c r="AG31" s="40">
        <f t="shared" si="44"/>
        <v>40419.166666666664</v>
      </c>
      <c r="AH31" s="40">
        <f t="shared" si="44"/>
        <v>40419.166666666664</v>
      </c>
      <c r="AI31" s="40">
        <f t="shared" si="45"/>
        <v>40419.166666666664</v>
      </c>
      <c r="AJ31" s="40">
        <f t="shared" si="45"/>
        <v>0</v>
      </c>
      <c r="AK31" s="40">
        <f t="shared" si="45"/>
        <v>0</v>
      </c>
      <c r="AL31" s="40">
        <f t="shared" si="45"/>
        <v>0</v>
      </c>
      <c r="AM31" s="40">
        <f t="shared" si="45"/>
        <v>0</v>
      </c>
      <c r="AN31" s="40">
        <f t="shared" si="45"/>
        <v>67177.500000000015</v>
      </c>
      <c r="AO31" s="40">
        <f t="shared" si="45"/>
        <v>67177.500000000015</v>
      </c>
      <c r="AP31" s="40">
        <f t="shared" si="45"/>
        <v>67177.500000000015</v>
      </c>
      <c r="AQ31" s="40">
        <f t="shared" si="45"/>
        <v>67177.500000000015</v>
      </c>
      <c r="AR31" s="40">
        <f t="shared" si="45"/>
        <v>67177.500000000015</v>
      </c>
      <c r="AS31" s="40">
        <f t="shared" si="46"/>
        <v>67177.500000000015</v>
      </c>
      <c r="AT31" s="40">
        <f t="shared" si="46"/>
        <v>67177.500000000015</v>
      </c>
      <c r="AU31" s="40">
        <f t="shared" si="46"/>
        <v>67177.500000000015</v>
      </c>
      <c r="AV31" s="40">
        <f t="shared" si="46"/>
        <v>67177.500000000015</v>
      </c>
      <c r="AW31" s="40">
        <f t="shared" si="46"/>
        <v>67177.500000000015</v>
      </c>
      <c r="AX31" s="40">
        <f t="shared" si="46"/>
        <v>67177.500000000015</v>
      </c>
      <c r="AY31" s="40">
        <f t="shared" si="46"/>
        <v>69192.825000000012</v>
      </c>
      <c r="AZ31" s="40">
        <f t="shared" si="46"/>
        <v>69192.825000000012</v>
      </c>
      <c r="BA31" s="40">
        <f t="shared" si="46"/>
        <v>69192.825000000012</v>
      </c>
      <c r="BB31" s="40">
        <f t="shared" si="46"/>
        <v>69192.825000000012</v>
      </c>
      <c r="BC31" s="40">
        <f t="shared" si="47"/>
        <v>69192.825000000012</v>
      </c>
      <c r="BD31" s="40">
        <f t="shared" si="47"/>
        <v>69192.825000000012</v>
      </c>
      <c r="BE31" s="40">
        <f t="shared" si="47"/>
        <v>69192.825000000012</v>
      </c>
      <c r="BF31" s="40">
        <f t="shared" si="47"/>
        <v>69192.825000000012</v>
      </c>
      <c r="BG31" s="40">
        <f t="shared" si="47"/>
        <v>69192.825000000012</v>
      </c>
      <c r="BH31" s="40">
        <f t="shared" si="47"/>
        <v>69192.825000000012</v>
      </c>
      <c r="BI31" s="40">
        <f t="shared" si="47"/>
        <v>69192.825000000012</v>
      </c>
      <c r="BJ31" s="40">
        <f t="shared" si="47"/>
        <v>69192.825000000012</v>
      </c>
      <c r="BK31" s="40">
        <f t="shared" si="47"/>
        <v>71268.609750000003</v>
      </c>
      <c r="BL31" s="40">
        <f t="shared" si="47"/>
        <v>71268.609750000003</v>
      </c>
      <c r="BM31" s="40">
        <f t="shared" si="48"/>
        <v>71268.609750000003</v>
      </c>
      <c r="BN31" s="40">
        <f t="shared" si="48"/>
        <v>71268.609750000003</v>
      </c>
      <c r="BO31" s="40">
        <f t="shared" si="48"/>
        <v>71268.609750000003</v>
      </c>
      <c r="BP31" s="40">
        <f t="shared" si="48"/>
        <v>71268.609750000003</v>
      </c>
      <c r="BQ31" s="40">
        <f t="shared" si="48"/>
        <v>71268.609750000003</v>
      </c>
      <c r="BR31" s="40">
        <f t="shared" si="48"/>
        <v>71268.609750000003</v>
      </c>
      <c r="BS31" s="40">
        <f t="shared" si="48"/>
        <v>71268.609750000003</v>
      </c>
      <c r="BT31" s="40">
        <f t="shared" si="48"/>
        <v>71268.609750000003</v>
      </c>
      <c r="BU31" s="40">
        <f t="shared" si="48"/>
        <v>71268.609750000003</v>
      </c>
      <c r="BV31" s="40">
        <f t="shared" si="48"/>
        <v>71268.609750000003</v>
      </c>
      <c r="BW31" s="40">
        <f t="shared" si="49"/>
        <v>73406.668042500009</v>
      </c>
      <c r="BX31" s="40">
        <f t="shared" si="49"/>
        <v>73406.668042500009</v>
      </c>
      <c r="BY31" s="40">
        <f t="shared" si="49"/>
        <v>73406.668042500009</v>
      </c>
      <c r="BZ31" s="40">
        <f t="shared" si="49"/>
        <v>73406.668042500009</v>
      </c>
      <c r="CA31" s="40">
        <f t="shared" si="49"/>
        <v>73406.668042500009</v>
      </c>
      <c r="CB31" s="40">
        <f t="shared" si="49"/>
        <v>73406.668042500009</v>
      </c>
      <c r="CC31" s="40">
        <f t="shared" si="49"/>
        <v>73406.668042500009</v>
      </c>
      <c r="CD31" s="40">
        <f t="shared" si="49"/>
        <v>73406.668042500009</v>
      </c>
      <c r="CE31" s="40">
        <f t="shared" si="49"/>
        <v>73406.668042500009</v>
      </c>
      <c r="CF31" s="40">
        <f t="shared" si="49"/>
        <v>73406.668042500009</v>
      </c>
      <c r="CG31" s="40">
        <f t="shared" si="50"/>
        <v>73406.668042500009</v>
      </c>
      <c r="CH31" s="40">
        <f t="shared" si="50"/>
        <v>73406.668042500009</v>
      </c>
      <c r="CI31" s="40">
        <f t="shared" si="50"/>
        <v>75608.868083775</v>
      </c>
      <c r="CJ31" s="40">
        <f t="shared" si="50"/>
        <v>75608.868083775</v>
      </c>
      <c r="CK31" s="40">
        <f t="shared" si="50"/>
        <v>75608.868083775</v>
      </c>
      <c r="CL31" s="40">
        <f t="shared" si="50"/>
        <v>75608.868083775</v>
      </c>
      <c r="CM31" s="40">
        <f t="shared" si="50"/>
        <v>75608.868083775</v>
      </c>
      <c r="CN31" s="40">
        <f t="shared" si="50"/>
        <v>75608.868083775</v>
      </c>
      <c r="CO31" s="40">
        <f t="shared" si="50"/>
        <v>75608.868083775</v>
      </c>
      <c r="CP31" s="40">
        <f t="shared" si="50"/>
        <v>75608.868083775</v>
      </c>
      <c r="CQ31" s="40">
        <f t="shared" si="51"/>
        <v>75608.868083775</v>
      </c>
      <c r="CR31" s="40">
        <f t="shared" si="51"/>
        <v>75608.868083775</v>
      </c>
      <c r="CS31" s="40">
        <f t="shared" si="51"/>
        <v>75608.868083775</v>
      </c>
      <c r="CT31" s="40">
        <f t="shared" si="51"/>
        <v>75608.868083775</v>
      </c>
      <c r="CU31" s="40">
        <f t="shared" si="51"/>
        <v>77877.134126288249</v>
      </c>
      <c r="CV31" s="40">
        <f t="shared" si="51"/>
        <v>77877.134126288249</v>
      </c>
      <c r="CW31" s="40">
        <f t="shared" si="51"/>
        <v>77877.134126288249</v>
      </c>
      <c r="CX31" s="40">
        <f t="shared" si="51"/>
        <v>77877.134126288249</v>
      </c>
      <c r="CY31" s="40">
        <f t="shared" si="51"/>
        <v>77877.134126288249</v>
      </c>
      <c r="CZ31" s="40">
        <f t="shared" si="51"/>
        <v>77877.134126288249</v>
      </c>
      <c r="DA31" s="40">
        <f t="shared" si="52"/>
        <v>77877.134126288249</v>
      </c>
      <c r="DB31" s="40">
        <f t="shared" si="52"/>
        <v>77877.134126288249</v>
      </c>
      <c r="DC31" s="40">
        <f t="shared" si="52"/>
        <v>77877.134126288249</v>
      </c>
      <c r="DD31" s="40">
        <f t="shared" si="52"/>
        <v>77877.134126288249</v>
      </c>
      <c r="DE31" s="40">
        <f t="shared" si="52"/>
        <v>77877.134126288249</v>
      </c>
      <c r="DF31" s="40">
        <f t="shared" si="52"/>
        <v>77877.134126288249</v>
      </c>
      <c r="DG31" s="40">
        <f t="shared" si="52"/>
        <v>80213.448150076903</v>
      </c>
      <c r="DH31" s="40">
        <f t="shared" si="52"/>
        <v>80213.448150076903</v>
      </c>
      <c r="DI31" s="40">
        <f t="shared" si="52"/>
        <v>80213.448150076903</v>
      </c>
      <c r="DJ31" s="40">
        <f t="shared" si="52"/>
        <v>80213.448150076903</v>
      </c>
      <c r="DK31" s="40">
        <f t="shared" si="53"/>
        <v>80213.448150076903</v>
      </c>
      <c r="DL31" s="40">
        <f t="shared" si="53"/>
        <v>80213.448150076903</v>
      </c>
      <c r="DM31" s="40">
        <f t="shared" si="53"/>
        <v>80213.448150076903</v>
      </c>
      <c r="DN31" s="40">
        <f t="shared" si="53"/>
        <v>80213.448150076903</v>
      </c>
      <c r="DO31" s="40">
        <f t="shared" si="53"/>
        <v>80213.448150076903</v>
      </c>
      <c r="DP31" s="40">
        <f t="shared" si="53"/>
        <v>80213.448150076903</v>
      </c>
      <c r="DQ31" s="40">
        <f t="shared" si="53"/>
        <v>80213.448150076903</v>
      </c>
      <c r="DR31" s="40">
        <f t="shared" si="53"/>
        <v>80213.448150076903</v>
      </c>
      <c r="DS31" s="40">
        <f t="shared" si="53"/>
        <v>82619.851594579217</v>
      </c>
      <c r="DT31" s="40">
        <f t="shared" si="53"/>
        <v>82619.851594579217</v>
      </c>
      <c r="DU31" s="40">
        <f t="shared" si="54"/>
        <v>82619.851594579217</v>
      </c>
      <c r="DV31" s="40">
        <f t="shared" si="54"/>
        <v>82619.851594579217</v>
      </c>
      <c r="DW31" s="40">
        <f t="shared" si="54"/>
        <v>82619.851594579217</v>
      </c>
      <c r="DX31" s="40">
        <f t="shared" si="54"/>
        <v>82619.851594579217</v>
      </c>
      <c r="DY31" s="40">
        <f t="shared" si="54"/>
        <v>82619.851594579217</v>
      </c>
      <c r="DZ31" s="40">
        <f t="shared" si="54"/>
        <v>82619.851594579217</v>
      </c>
      <c r="EA31" s="40">
        <f t="shared" si="54"/>
        <v>82619.851594579217</v>
      </c>
      <c r="EB31" s="40">
        <f t="shared" si="54"/>
        <v>82619.851594579217</v>
      </c>
      <c r="EC31" s="40">
        <f t="shared" si="54"/>
        <v>82619.851594579217</v>
      </c>
      <c r="ED31" s="40">
        <f t="shared" si="54"/>
        <v>82619.851594579217</v>
      </c>
      <c r="EE31" s="40">
        <f t="shared" si="55"/>
        <v>85098.447142416582</v>
      </c>
      <c r="EF31" s="40">
        <f t="shared" si="55"/>
        <v>85098.447142416582</v>
      </c>
      <c r="EG31" s="40">
        <f t="shared" si="55"/>
        <v>85098.447142416582</v>
      </c>
      <c r="EH31" s="40">
        <f t="shared" si="55"/>
        <v>85098.447142416582</v>
      </c>
      <c r="EI31" s="40">
        <f t="shared" si="55"/>
        <v>85098.447142416582</v>
      </c>
      <c r="EJ31" s="40">
        <f t="shared" si="55"/>
        <v>85098.447142416582</v>
      </c>
      <c r="EK31" s="40">
        <f t="shared" si="55"/>
        <v>85098.447142416582</v>
      </c>
      <c r="EL31" s="40">
        <f t="shared" si="55"/>
        <v>85098.447142416582</v>
      </c>
      <c r="EM31" s="40">
        <f t="shared" si="55"/>
        <v>85098.447142416582</v>
      </c>
      <c r="EN31" s="40">
        <f t="shared" si="55"/>
        <v>85098.447142416582</v>
      </c>
    </row>
    <row r="32" spans="2:144" x14ac:dyDescent="0.35">
      <c r="B32" s="37" t="s">
        <v>310</v>
      </c>
      <c r="C32" s="19" t="s">
        <v>311</v>
      </c>
      <c r="D32" s="20">
        <v>15000</v>
      </c>
      <c r="E32" s="18">
        <f t="shared" si="8"/>
        <v>1.2368073878627968E-2</v>
      </c>
      <c r="F32" s="38">
        <v>44835</v>
      </c>
      <c r="G32" s="38">
        <v>47423</v>
      </c>
      <c r="H32" s="32">
        <v>8.84</v>
      </c>
      <c r="I32" s="28">
        <f t="shared" si="9"/>
        <v>132600</v>
      </c>
      <c r="J32" s="26">
        <v>0.04</v>
      </c>
      <c r="K32" s="37" t="s">
        <v>266</v>
      </c>
      <c r="L32" s="32">
        <v>13</v>
      </c>
      <c r="M32" s="37" t="s">
        <v>267</v>
      </c>
      <c r="N32" s="39">
        <f t="shared" si="10"/>
        <v>-14</v>
      </c>
      <c r="O32" s="39">
        <f t="shared" si="11"/>
        <v>71</v>
      </c>
      <c r="P32" s="39">
        <f t="shared" si="12"/>
        <v>72</v>
      </c>
      <c r="Q32" s="39">
        <f t="shared" si="13"/>
        <v>3</v>
      </c>
      <c r="R32" s="39">
        <f t="shared" si="14"/>
        <v>75</v>
      </c>
      <c r="S32" s="39">
        <f t="shared" si="15"/>
        <v>1</v>
      </c>
      <c r="T32" s="39">
        <f t="shared" si="16"/>
        <v>76</v>
      </c>
      <c r="U32" s="39">
        <f t="shared" si="17"/>
        <v>7</v>
      </c>
      <c r="V32" s="39">
        <f t="shared" si="18"/>
        <v>35625</v>
      </c>
      <c r="W32" s="39">
        <f>IF(D32="",0,Retention_Ratio*LC_Ren*LeaseTermYrs*'Rent Roll'!D32*'Rent Roll'!X32+(1-Retention_Ratio)*LC_Ren*LeaseTermYrs*'Rent Roll'!D32*'Rent Roll'!X32)</f>
        <v>37285.692416321443</v>
      </c>
      <c r="X32" s="25">
        <f t="shared" si="19"/>
        <v>16.571418851698422</v>
      </c>
      <c r="Y32" s="40">
        <f t="shared" si="44"/>
        <v>11050</v>
      </c>
      <c r="Z32" s="40">
        <f t="shared" si="44"/>
        <v>11050</v>
      </c>
      <c r="AA32" s="40">
        <f t="shared" si="44"/>
        <v>11050</v>
      </c>
      <c r="AB32" s="40">
        <f t="shared" si="44"/>
        <v>11050</v>
      </c>
      <c r="AC32" s="40">
        <f t="shared" si="44"/>
        <v>11050</v>
      </c>
      <c r="AD32" s="40">
        <f t="shared" si="44"/>
        <v>11050</v>
      </c>
      <c r="AE32" s="40">
        <f t="shared" si="44"/>
        <v>11050</v>
      </c>
      <c r="AF32" s="40">
        <f t="shared" si="44"/>
        <v>11050</v>
      </c>
      <c r="AG32" s="40">
        <f t="shared" si="44"/>
        <v>11050</v>
      </c>
      <c r="AH32" s="40">
        <f t="shared" si="44"/>
        <v>11050</v>
      </c>
      <c r="AI32" s="40">
        <f t="shared" si="45"/>
        <v>11050</v>
      </c>
      <c r="AJ32" s="40">
        <f t="shared" si="45"/>
        <v>11050</v>
      </c>
      <c r="AK32" s="40">
        <f t="shared" si="45"/>
        <v>11492</v>
      </c>
      <c r="AL32" s="40">
        <f t="shared" si="45"/>
        <v>11492</v>
      </c>
      <c r="AM32" s="40">
        <f t="shared" si="45"/>
        <v>11492</v>
      </c>
      <c r="AN32" s="40">
        <f t="shared" si="45"/>
        <v>11492</v>
      </c>
      <c r="AO32" s="40">
        <f t="shared" si="45"/>
        <v>11492</v>
      </c>
      <c r="AP32" s="40">
        <f t="shared" si="45"/>
        <v>11492</v>
      </c>
      <c r="AQ32" s="40">
        <f t="shared" si="45"/>
        <v>11492</v>
      </c>
      <c r="AR32" s="40">
        <f t="shared" si="45"/>
        <v>11492</v>
      </c>
      <c r="AS32" s="40">
        <f t="shared" si="46"/>
        <v>11492</v>
      </c>
      <c r="AT32" s="40">
        <f t="shared" si="46"/>
        <v>11492</v>
      </c>
      <c r="AU32" s="40">
        <f t="shared" si="46"/>
        <v>11492</v>
      </c>
      <c r="AV32" s="40">
        <f t="shared" si="46"/>
        <v>11492</v>
      </c>
      <c r="AW32" s="40">
        <f t="shared" si="46"/>
        <v>11951.68</v>
      </c>
      <c r="AX32" s="40">
        <f t="shared" si="46"/>
        <v>11951.68</v>
      </c>
      <c r="AY32" s="40">
        <f t="shared" si="46"/>
        <v>11951.68</v>
      </c>
      <c r="AZ32" s="40">
        <f t="shared" si="46"/>
        <v>11951.68</v>
      </c>
      <c r="BA32" s="40">
        <f t="shared" si="46"/>
        <v>11951.68</v>
      </c>
      <c r="BB32" s="40">
        <f t="shared" si="46"/>
        <v>11951.68</v>
      </c>
      <c r="BC32" s="40">
        <f t="shared" si="47"/>
        <v>11951.68</v>
      </c>
      <c r="BD32" s="40">
        <f t="shared" si="47"/>
        <v>11951.68</v>
      </c>
      <c r="BE32" s="40">
        <f t="shared" si="47"/>
        <v>11951.68</v>
      </c>
      <c r="BF32" s="40">
        <f t="shared" si="47"/>
        <v>11951.68</v>
      </c>
      <c r="BG32" s="40">
        <f t="shared" si="47"/>
        <v>11951.68</v>
      </c>
      <c r="BH32" s="40">
        <f t="shared" si="47"/>
        <v>11951.68</v>
      </c>
      <c r="BI32" s="40">
        <f t="shared" si="47"/>
        <v>12429.7472</v>
      </c>
      <c r="BJ32" s="40">
        <f t="shared" si="47"/>
        <v>12429.7472</v>
      </c>
      <c r="BK32" s="40">
        <f t="shared" si="47"/>
        <v>12429.7472</v>
      </c>
      <c r="BL32" s="40">
        <f t="shared" si="47"/>
        <v>12429.7472</v>
      </c>
      <c r="BM32" s="40">
        <f t="shared" si="48"/>
        <v>12429.7472</v>
      </c>
      <c r="BN32" s="40">
        <f t="shared" si="48"/>
        <v>12429.7472</v>
      </c>
      <c r="BO32" s="40">
        <f t="shared" si="48"/>
        <v>12429.7472</v>
      </c>
      <c r="BP32" s="40">
        <f t="shared" si="48"/>
        <v>12429.7472</v>
      </c>
      <c r="BQ32" s="40">
        <f t="shared" si="48"/>
        <v>12429.7472</v>
      </c>
      <c r="BR32" s="40">
        <f t="shared" si="48"/>
        <v>12429.7472</v>
      </c>
      <c r="BS32" s="40">
        <f t="shared" si="48"/>
        <v>12429.7472</v>
      </c>
      <c r="BT32" s="40">
        <f t="shared" si="48"/>
        <v>12429.7472</v>
      </c>
      <c r="BU32" s="40">
        <f t="shared" si="48"/>
        <v>12926.937088000001</v>
      </c>
      <c r="BV32" s="40">
        <f t="shared" si="48"/>
        <v>12926.937088000001</v>
      </c>
      <c r="BW32" s="40">
        <f t="shared" si="49"/>
        <v>12926.937088000001</v>
      </c>
      <c r="BX32" s="40">
        <f t="shared" si="49"/>
        <v>12926.937088000001</v>
      </c>
      <c r="BY32" s="40">
        <f t="shared" si="49"/>
        <v>12926.937088000001</v>
      </c>
      <c r="BZ32" s="40">
        <f t="shared" si="49"/>
        <v>12926.937088000001</v>
      </c>
      <c r="CA32" s="40">
        <f t="shared" si="49"/>
        <v>12926.937088000001</v>
      </c>
      <c r="CB32" s="40">
        <f t="shared" si="49"/>
        <v>12926.937088000001</v>
      </c>
      <c r="CC32" s="40">
        <f t="shared" si="49"/>
        <v>12926.937088000001</v>
      </c>
      <c r="CD32" s="40">
        <f t="shared" si="49"/>
        <v>12926.937088000001</v>
      </c>
      <c r="CE32" s="40">
        <f t="shared" si="49"/>
        <v>12926.937088000001</v>
      </c>
      <c r="CF32" s="40">
        <f t="shared" si="49"/>
        <v>12926.937088000001</v>
      </c>
      <c r="CG32" s="40">
        <f t="shared" si="50"/>
        <v>13444.014571520003</v>
      </c>
      <c r="CH32" s="40">
        <f t="shared" si="50"/>
        <v>13444.014571520003</v>
      </c>
      <c r="CI32" s="40">
        <f t="shared" si="50"/>
        <v>13444.014571520003</v>
      </c>
      <c r="CJ32" s="40">
        <f t="shared" si="50"/>
        <v>13444.014571520003</v>
      </c>
      <c r="CK32" s="40">
        <f t="shared" si="50"/>
        <v>13444.014571520003</v>
      </c>
      <c r="CL32" s="40">
        <f t="shared" si="50"/>
        <v>13444.014571520003</v>
      </c>
      <c r="CM32" s="40">
        <f t="shared" si="50"/>
        <v>13444.014571520003</v>
      </c>
      <c r="CN32" s="40">
        <f t="shared" si="50"/>
        <v>13444.014571520003</v>
      </c>
      <c r="CO32" s="40">
        <f t="shared" si="50"/>
        <v>13444.014571520003</v>
      </c>
      <c r="CP32" s="40">
        <f t="shared" si="50"/>
        <v>13444.014571520003</v>
      </c>
      <c r="CQ32" s="40">
        <f t="shared" si="51"/>
        <v>13444.014571520003</v>
      </c>
      <c r="CR32" s="40">
        <f t="shared" si="51"/>
        <v>0</v>
      </c>
      <c r="CS32" s="40">
        <f t="shared" si="51"/>
        <v>0</v>
      </c>
      <c r="CT32" s="40">
        <f t="shared" si="51"/>
        <v>0</v>
      </c>
      <c r="CU32" s="40">
        <f t="shared" si="51"/>
        <v>0</v>
      </c>
      <c r="CV32" s="40">
        <f t="shared" si="51"/>
        <v>20714.273564623025</v>
      </c>
      <c r="CW32" s="40">
        <f t="shared" si="51"/>
        <v>20714.273564623025</v>
      </c>
      <c r="CX32" s="40">
        <f t="shared" si="51"/>
        <v>20714.273564623025</v>
      </c>
      <c r="CY32" s="40">
        <f t="shared" si="51"/>
        <v>20714.273564623025</v>
      </c>
      <c r="CZ32" s="40">
        <f t="shared" si="51"/>
        <v>20714.273564623025</v>
      </c>
      <c r="DA32" s="40">
        <f t="shared" si="52"/>
        <v>20714.273564623025</v>
      </c>
      <c r="DB32" s="40">
        <f t="shared" si="52"/>
        <v>20714.273564623025</v>
      </c>
      <c r="DC32" s="40">
        <f t="shared" si="52"/>
        <v>20714.273564623025</v>
      </c>
      <c r="DD32" s="40">
        <f t="shared" si="52"/>
        <v>20714.273564623025</v>
      </c>
      <c r="DE32" s="40">
        <f t="shared" si="52"/>
        <v>20714.273564623025</v>
      </c>
      <c r="DF32" s="40">
        <f t="shared" si="52"/>
        <v>20714.273564623025</v>
      </c>
      <c r="DG32" s="40">
        <f t="shared" si="52"/>
        <v>21542.844507207948</v>
      </c>
      <c r="DH32" s="40">
        <f t="shared" si="52"/>
        <v>21542.844507207948</v>
      </c>
      <c r="DI32" s="40">
        <f t="shared" si="52"/>
        <v>21542.844507207948</v>
      </c>
      <c r="DJ32" s="40">
        <f t="shared" si="52"/>
        <v>21542.844507207948</v>
      </c>
      <c r="DK32" s="40">
        <f t="shared" si="53"/>
        <v>21542.844507207948</v>
      </c>
      <c r="DL32" s="40">
        <f t="shared" si="53"/>
        <v>21542.844507207948</v>
      </c>
      <c r="DM32" s="40">
        <f t="shared" si="53"/>
        <v>21542.844507207948</v>
      </c>
      <c r="DN32" s="40">
        <f t="shared" si="53"/>
        <v>21542.844507207948</v>
      </c>
      <c r="DO32" s="40">
        <f t="shared" si="53"/>
        <v>21542.844507207948</v>
      </c>
      <c r="DP32" s="40">
        <f t="shared" si="53"/>
        <v>21542.844507207948</v>
      </c>
      <c r="DQ32" s="40">
        <f t="shared" si="53"/>
        <v>21542.844507207948</v>
      </c>
      <c r="DR32" s="40">
        <f t="shared" si="53"/>
        <v>21542.844507207948</v>
      </c>
      <c r="DS32" s="40">
        <f t="shared" si="53"/>
        <v>22404.558287496267</v>
      </c>
      <c r="DT32" s="40">
        <f t="shared" si="53"/>
        <v>22404.558287496267</v>
      </c>
      <c r="DU32" s="40">
        <f t="shared" si="54"/>
        <v>22404.558287496267</v>
      </c>
      <c r="DV32" s="40">
        <f t="shared" si="54"/>
        <v>22404.558287496267</v>
      </c>
      <c r="DW32" s="40">
        <f t="shared" si="54"/>
        <v>22404.558287496267</v>
      </c>
      <c r="DX32" s="40">
        <f t="shared" si="54"/>
        <v>22404.558287496267</v>
      </c>
      <c r="DY32" s="40">
        <f t="shared" si="54"/>
        <v>22404.558287496267</v>
      </c>
      <c r="DZ32" s="40">
        <f t="shared" si="54"/>
        <v>22404.558287496267</v>
      </c>
      <c r="EA32" s="40">
        <f t="shared" si="54"/>
        <v>22404.558287496267</v>
      </c>
      <c r="EB32" s="40">
        <f t="shared" si="54"/>
        <v>22404.558287496267</v>
      </c>
      <c r="EC32" s="40">
        <f t="shared" si="54"/>
        <v>22404.558287496267</v>
      </c>
      <c r="ED32" s="40">
        <f t="shared" si="54"/>
        <v>22404.558287496267</v>
      </c>
      <c r="EE32" s="40">
        <f t="shared" si="55"/>
        <v>23300.740618996118</v>
      </c>
      <c r="EF32" s="40">
        <f t="shared" si="55"/>
        <v>23300.740618996118</v>
      </c>
      <c r="EG32" s="40">
        <f t="shared" si="55"/>
        <v>23300.740618996118</v>
      </c>
      <c r="EH32" s="40">
        <f t="shared" si="55"/>
        <v>23300.740618996118</v>
      </c>
      <c r="EI32" s="40">
        <f t="shared" si="55"/>
        <v>23300.740618996118</v>
      </c>
      <c r="EJ32" s="40">
        <f t="shared" si="55"/>
        <v>23300.740618996118</v>
      </c>
      <c r="EK32" s="40">
        <f t="shared" si="55"/>
        <v>23300.740618996118</v>
      </c>
      <c r="EL32" s="40">
        <f t="shared" si="55"/>
        <v>23300.740618996118</v>
      </c>
      <c r="EM32" s="40">
        <f t="shared" si="55"/>
        <v>23300.740618996118</v>
      </c>
      <c r="EN32" s="40">
        <f t="shared" si="55"/>
        <v>23300.740618996118</v>
      </c>
    </row>
    <row r="33" spans="2:144" x14ac:dyDescent="0.35">
      <c r="B33" s="37" t="s">
        <v>312</v>
      </c>
      <c r="C33" s="19" t="s">
        <v>313</v>
      </c>
      <c r="D33" s="20">
        <v>27500</v>
      </c>
      <c r="E33" s="18">
        <f t="shared" si="8"/>
        <v>2.2674802110817942E-2</v>
      </c>
      <c r="F33" s="38">
        <v>37622</v>
      </c>
      <c r="G33" s="38">
        <v>45292</v>
      </c>
      <c r="H33" s="32">
        <v>6.9</v>
      </c>
      <c r="I33" s="28">
        <f t="shared" si="9"/>
        <v>189750</v>
      </c>
      <c r="J33" s="26">
        <v>0</v>
      </c>
      <c r="K33" s="37" t="s">
        <v>266</v>
      </c>
      <c r="L33" s="32">
        <v>11.5</v>
      </c>
      <c r="M33" s="37" t="s">
        <v>278</v>
      </c>
      <c r="N33" s="39">
        <f t="shared" si="10"/>
        <v>-251</v>
      </c>
      <c r="O33" s="39">
        <f t="shared" si="11"/>
        <v>1</v>
      </c>
      <c r="P33" s="39">
        <f t="shared" si="12"/>
        <v>2</v>
      </c>
      <c r="Q33" s="39">
        <f t="shared" si="13"/>
        <v>3</v>
      </c>
      <c r="R33" s="39">
        <f t="shared" si="14"/>
        <v>5</v>
      </c>
      <c r="S33" s="39">
        <f t="shared" si="15"/>
        <v>1</v>
      </c>
      <c r="T33" s="39">
        <f t="shared" si="16"/>
        <v>6</v>
      </c>
      <c r="U33" s="39">
        <f t="shared" si="17"/>
        <v>1</v>
      </c>
      <c r="V33" s="39">
        <f t="shared" si="18"/>
        <v>65312.5</v>
      </c>
      <c r="W33" s="39">
        <f>IF(D33="",0,Retention_Ratio*LC_Ren*LeaseTermYrs*'Rent Roll'!D33*'Rent Roll'!X33+(1-Retention_Ratio)*LC_Ren*LeaseTermYrs*'Rent Roll'!D33*'Rent Roll'!X33)</f>
        <v>47437.499999999993</v>
      </c>
      <c r="X33" s="25">
        <f t="shared" si="19"/>
        <v>11.5</v>
      </c>
      <c r="Y33" s="40">
        <f t="shared" si="44"/>
        <v>15812.5</v>
      </c>
      <c r="Z33" s="40">
        <f t="shared" si="44"/>
        <v>0</v>
      </c>
      <c r="AA33" s="40">
        <f t="shared" si="44"/>
        <v>0</v>
      </c>
      <c r="AB33" s="40">
        <f t="shared" si="44"/>
        <v>0</v>
      </c>
      <c r="AC33" s="40">
        <f t="shared" si="44"/>
        <v>0</v>
      </c>
      <c r="AD33" s="40">
        <f t="shared" si="44"/>
        <v>26354.166666666668</v>
      </c>
      <c r="AE33" s="40">
        <f t="shared" si="44"/>
        <v>26354.166666666668</v>
      </c>
      <c r="AF33" s="40">
        <f t="shared" si="44"/>
        <v>26354.166666666668</v>
      </c>
      <c r="AG33" s="40">
        <f t="shared" si="44"/>
        <v>26354.166666666668</v>
      </c>
      <c r="AH33" s="40">
        <f t="shared" si="44"/>
        <v>26354.166666666668</v>
      </c>
      <c r="AI33" s="40">
        <f t="shared" si="45"/>
        <v>26354.166666666668</v>
      </c>
      <c r="AJ33" s="40">
        <f t="shared" si="45"/>
        <v>26354.166666666668</v>
      </c>
      <c r="AK33" s="40">
        <f t="shared" si="45"/>
        <v>26354.166666666668</v>
      </c>
      <c r="AL33" s="40">
        <f t="shared" si="45"/>
        <v>26354.166666666668</v>
      </c>
      <c r="AM33" s="40">
        <f t="shared" si="45"/>
        <v>26354.166666666668</v>
      </c>
      <c r="AN33" s="40">
        <f t="shared" si="45"/>
        <v>26354.166666666668</v>
      </c>
      <c r="AO33" s="40">
        <f t="shared" si="45"/>
        <v>26354.166666666668</v>
      </c>
      <c r="AP33" s="40">
        <f t="shared" si="45"/>
        <v>26354.166666666668</v>
      </c>
      <c r="AQ33" s="40">
        <f t="shared" si="45"/>
        <v>26354.166666666668</v>
      </c>
      <c r="AR33" s="40">
        <f t="shared" si="45"/>
        <v>26354.166666666668</v>
      </c>
      <c r="AS33" s="40">
        <f t="shared" si="46"/>
        <v>26354.166666666668</v>
      </c>
      <c r="AT33" s="40">
        <f t="shared" si="46"/>
        <v>26354.166666666668</v>
      </c>
      <c r="AU33" s="40">
        <f t="shared" si="46"/>
        <v>26354.166666666668</v>
      </c>
      <c r="AV33" s="40">
        <f t="shared" si="46"/>
        <v>26354.166666666668</v>
      </c>
      <c r="AW33" s="40">
        <f t="shared" si="46"/>
        <v>26354.166666666668</v>
      </c>
      <c r="AX33" s="40">
        <f t="shared" si="46"/>
        <v>26354.166666666668</v>
      </c>
      <c r="AY33" s="40">
        <f t="shared" si="46"/>
        <v>26354.166666666668</v>
      </c>
      <c r="AZ33" s="40">
        <f t="shared" si="46"/>
        <v>26354.166666666668</v>
      </c>
      <c r="BA33" s="40">
        <f t="shared" si="46"/>
        <v>26354.166666666668</v>
      </c>
      <c r="BB33" s="40">
        <f t="shared" si="46"/>
        <v>26354.166666666668</v>
      </c>
      <c r="BC33" s="40">
        <f t="shared" si="47"/>
        <v>26354.166666666668</v>
      </c>
      <c r="BD33" s="40">
        <f t="shared" si="47"/>
        <v>26354.166666666668</v>
      </c>
      <c r="BE33" s="40">
        <f t="shared" si="47"/>
        <v>26354.166666666668</v>
      </c>
      <c r="BF33" s="40">
        <f t="shared" si="47"/>
        <v>26354.166666666668</v>
      </c>
      <c r="BG33" s="40">
        <f t="shared" si="47"/>
        <v>26354.166666666668</v>
      </c>
      <c r="BH33" s="40">
        <f t="shared" si="47"/>
        <v>26354.166666666668</v>
      </c>
      <c r="BI33" s="40">
        <f t="shared" si="47"/>
        <v>26354.166666666668</v>
      </c>
      <c r="BJ33" s="40">
        <f t="shared" si="47"/>
        <v>26354.166666666668</v>
      </c>
      <c r="BK33" s="40">
        <f t="shared" si="47"/>
        <v>26354.166666666668</v>
      </c>
      <c r="BL33" s="40">
        <f t="shared" si="47"/>
        <v>26354.166666666668</v>
      </c>
      <c r="BM33" s="40">
        <f t="shared" si="48"/>
        <v>26354.166666666668</v>
      </c>
      <c r="BN33" s="40">
        <f t="shared" si="48"/>
        <v>26354.166666666668</v>
      </c>
      <c r="BO33" s="40">
        <f t="shared" si="48"/>
        <v>26354.166666666668</v>
      </c>
      <c r="BP33" s="40">
        <f t="shared" si="48"/>
        <v>26354.166666666668</v>
      </c>
      <c r="BQ33" s="40">
        <f t="shared" si="48"/>
        <v>26354.166666666668</v>
      </c>
      <c r="BR33" s="40">
        <f t="shared" si="48"/>
        <v>26354.166666666668</v>
      </c>
      <c r="BS33" s="40">
        <f t="shared" si="48"/>
        <v>26354.166666666668</v>
      </c>
      <c r="BT33" s="40">
        <f t="shared" si="48"/>
        <v>26354.166666666668</v>
      </c>
      <c r="BU33" s="40">
        <f t="shared" si="48"/>
        <v>26354.166666666668</v>
      </c>
      <c r="BV33" s="40">
        <f t="shared" si="48"/>
        <v>26354.166666666668</v>
      </c>
      <c r="BW33" s="40">
        <f t="shared" si="49"/>
        <v>26354.166666666668</v>
      </c>
      <c r="BX33" s="40">
        <f t="shared" si="49"/>
        <v>26354.166666666668</v>
      </c>
      <c r="BY33" s="40">
        <f t="shared" si="49"/>
        <v>26354.166666666668</v>
      </c>
      <c r="BZ33" s="40">
        <f t="shared" si="49"/>
        <v>26354.166666666668</v>
      </c>
      <c r="CA33" s="40">
        <f t="shared" si="49"/>
        <v>26354.166666666668</v>
      </c>
      <c r="CB33" s="40">
        <f t="shared" si="49"/>
        <v>26354.166666666668</v>
      </c>
      <c r="CC33" s="40">
        <f t="shared" si="49"/>
        <v>26354.166666666668</v>
      </c>
      <c r="CD33" s="40">
        <f t="shared" si="49"/>
        <v>26354.166666666668</v>
      </c>
      <c r="CE33" s="40">
        <f t="shared" si="49"/>
        <v>26354.166666666668</v>
      </c>
      <c r="CF33" s="40">
        <f t="shared" si="49"/>
        <v>26354.166666666668</v>
      </c>
      <c r="CG33" s="40">
        <f t="shared" si="50"/>
        <v>26354.166666666668</v>
      </c>
      <c r="CH33" s="40">
        <f t="shared" si="50"/>
        <v>26354.166666666668</v>
      </c>
      <c r="CI33" s="40">
        <f t="shared" si="50"/>
        <v>26354.166666666668</v>
      </c>
      <c r="CJ33" s="40">
        <f t="shared" si="50"/>
        <v>26354.166666666668</v>
      </c>
      <c r="CK33" s="40">
        <f t="shared" si="50"/>
        <v>26354.166666666668</v>
      </c>
      <c r="CL33" s="40">
        <f t="shared" si="50"/>
        <v>26354.166666666668</v>
      </c>
      <c r="CM33" s="40">
        <f t="shared" si="50"/>
        <v>26354.166666666668</v>
      </c>
      <c r="CN33" s="40">
        <f t="shared" si="50"/>
        <v>26354.166666666668</v>
      </c>
      <c r="CO33" s="40">
        <f t="shared" si="50"/>
        <v>26354.166666666668</v>
      </c>
      <c r="CP33" s="40">
        <f t="shared" si="50"/>
        <v>26354.166666666668</v>
      </c>
      <c r="CQ33" s="40">
        <f t="shared" si="51"/>
        <v>26354.166666666668</v>
      </c>
      <c r="CR33" s="40">
        <f t="shared" si="51"/>
        <v>26354.166666666668</v>
      </c>
      <c r="CS33" s="40">
        <f t="shared" si="51"/>
        <v>26354.166666666668</v>
      </c>
      <c r="CT33" s="40">
        <f t="shared" si="51"/>
        <v>26354.166666666668</v>
      </c>
      <c r="CU33" s="40">
        <f t="shared" si="51"/>
        <v>26354.166666666668</v>
      </c>
      <c r="CV33" s="40">
        <f t="shared" si="51"/>
        <v>26354.166666666668</v>
      </c>
      <c r="CW33" s="40">
        <f t="shared" si="51"/>
        <v>26354.166666666668</v>
      </c>
      <c r="CX33" s="40">
        <f t="shared" si="51"/>
        <v>26354.166666666668</v>
      </c>
      <c r="CY33" s="40">
        <f t="shared" si="51"/>
        <v>26354.166666666668</v>
      </c>
      <c r="CZ33" s="40">
        <f t="shared" si="51"/>
        <v>26354.166666666668</v>
      </c>
      <c r="DA33" s="40">
        <f t="shared" si="52"/>
        <v>26354.166666666668</v>
      </c>
      <c r="DB33" s="40">
        <f t="shared" si="52"/>
        <v>26354.166666666668</v>
      </c>
      <c r="DC33" s="40">
        <f t="shared" si="52"/>
        <v>26354.166666666668</v>
      </c>
      <c r="DD33" s="40">
        <f t="shared" si="52"/>
        <v>26354.166666666668</v>
      </c>
      <c r="DE33" s="40">
        <f t="shared" si="52"/>
        <v>26354.166666666668</v>
      </c>
      <c r="DF33" s="40">
        <f t="shared" si="52"/>
        <v>26354.166666666668</v>
      </c>
      <c r="DG33" s="40">
        <f t="shared" si="52"/>
        <v>26354.166666666668</v>
      </c>
      <c r="DH33" s="40">
        <f t="shared" si="52"/>
        <v>26354.166666666668</v>
      </c>
      <c r="DI33" s="40">
        <f t="shared" si="52"/>
        <v>26354.166666666668</v>
      </c>
      <c r="DJ33" s="40">
        <f t="shared" si="52"/>
        <v>26354.166666666668</v>
      </c>
      <c r="DK33" s="40">
        <f t="shared" si="53"/>
        <v>26354.166666666668</v>
      </c>
      <c r="DL33" s="40">
        <f t="shared" si="53"/>
        <v>26354.166666666668</v>
      </c>
      <c r="DM33" s="40">
        <f t="shared" si="53"/>
        <v>26354.166666666668</v>
      </c>
      <c r="DN33" s="40">
        <f t="shared" si="53"/>
        <v>26354.166666666668</v>
      </c>
      <c r="DO33" s="40">
        <f t="shared" si="53"/>
        <v>26354.166666666668</v>
      </c>
      <c r="DP33" s="40">
        <f t="shared" si="53"/>
        <v>26354.166666666668</v>
      </c>
      <c r="DQ33" s="40">
        <f t="shared" si="53"/>
        <v>26354.166666666668</v>
      </c>
      <c r="DR33" s="40">
        <f t="shared" si="53"/>
        <v>26354.166666666668</v>
      </c>
      <c r="DS33" s="40">
        <f t="shared" si="53"/>
        <v>26354.166666666668</v>
      </c>
      <c r="DT33" s="40">
        <f t="shared" si="53"/>
        <v>26354.166666666668</v>
      </c>
      <c r="DU33" s="40">
        <f t="shared" si="54"/>
        <v>26354.166666666668</v>
      </c>
      <c r="DV33" s="40">
        <f t="shared" si="54"/>
        <v>26354.166666666668</v>
      </c>
      <c r="DW33" s="40">
        <f t="shared" si="54"/>
        <v>26354.166666666668</v>
      </c>
      <c r="DX33" s="40">
        <f t="shared" si="54"/>
        <v>26354.166666666668</v>
      </c>
      <c r="DY33" s="40">
        <f t="shared" si="54"/>
        <v>26354.166666666668</v>
      </c>
      <c r="DZ33" s="40">
        <f t="shared" si="54"/>
        <v>26354.166666666668</v>
      </c>
      <c r="EA33" s="40">
        <f t="shared" si="54"/>
        <v>26354.166666666668</v>
      </c>
      <c r="EB33" s="40">
        <f t="shared" si="54"/>
        <v>26354.166666666668</v>
      </c>
      <c r="EC33" s="40">
        <f t="shared" si="54"/>
        <v>26354.166666666668</v>
      </c>
      <c r="ED33" s="40">
        <f t="shared" si="54"/>
        <v>26354.166666666668</v>
      </c>
      <c r="EE33" s="40">
        <f t="shared" si="55"/>
        <v>26354.166666666668</v>
      </c>
      <c r="EF33" s="40">
        <f t="shared" si="55"/>
        <v>26354.166666666668</v>
      </c>
      <c r="EG33" s="40">
        <f t="shared" si="55"/>
        <v>26354.166666666668</v>
      </c>
      <c r="EH33" s="40">
        <f t="shared" si="55"/>
        <v>26354.166666666668</v>
      </c>
      <c r="EI33" s="40">
        <f t="shared" si="55"/>
        <v>26354.166666666668</v>
      </c>
      <c r="EJ33" s="40">
        <f t="shared" si="55"/>
        <v>26354.166666666668</v>
      </c>
      <c r="EK33" s="40">
        <f t="shared" si="55"/>
        <v>26354.166666666668</v>
      </c>
      <c r="EL33" s="40">
        <f t="shared" si="55"/>
        <v>26354.166666666668</v>
      </c>
      <c r="EM33" s="40">
        <f t="shared" si="55"/>
        <v>26354.166666666668</v>
      </c>
      <c r="EN33" s="40">
        <f t="shared" si="55"/>
        <v>26354.166666666668</v>
      </c>
    </row>
    <row r="34" spans="2:144" x14ac:dyDescent="0.35">
      <c r="B34" s="37" t="s">
        <v>314</v>
      </c>
      <c r="C34" s="19" t="s">
        <v>315</v>
      </c>
      <c r="D34" s="20">
        <v>20000</v>
      </c>
      <c r="E34" s="18">
        <f t="shared" si="8"/>
        <v>1.6490765171503958E-2</v>
      </c>
      <c r="F34" s="38">
        <v>44866</v>
      </c>
      <c r="G34" s="38">
        <v>46661</v>
      </c>
      <c r="H34" s="32">
        <v>8.25</v>
      </c>
      <c r="I34" s="28">
        <f t="shared" si="9"/>
        <v>165000</v>
      </c>
      <c r="J34" s="26">
        <v>0.04</v>
      </c>
      <c r="K34" s="37" t="s">
        <v>266</v>
      </c>
      <c r="L34" s="32">
        <v>12</v>
      </c>
      <c r="M34" s="37" t="s">
        <v>267</v>
      </c>
      <c r="N34" s="39">
        <f t="shared" si="10"/>
        <v>-13</v>
      </c>
      <c r="O34" s="39">
        <f t="shared" si="11"/>
        <v>46</v>
      </c>
      <c r="P34" s="39">
        <f t="shared" si="12"/>
        <v>47</v>
      </c>
      <c r="Q34" s="39">
        <f t="shared" si="13"/>
        <v>3</v>
      </c>
      <c r="R34" s="39">
        <f t="shared" si="14"/>
        <v>50</v>
      </c>
      <c r="S34" s="39">
        <f t="shared" si="15"/>
        <v>1</v>
      </c>
      <c r="T34" s="39">
        <f t="shared" si="16"/>
        <v>51</v>
      </c>
      <c r="U34" s="39">
        <f t="shared" si="17"/>
        <v>5</v>
      </c>
      <c r="V34" s="39">
        <f t="shared" si="18"/>
        <v>47500</v>
      </c>
      <c r="W34" s="39">
        <f>IF(D34="",0,Retention_Ratio*LC_Ren*LeaseTermYrs*'Rent Roll'!D34*'Rent Roll'!X34+(1-Retention_Ratio)*LC_Ren*LeaseTermYrs*'Rent Roll'!D34*'Rent Roll'!X34)</f>
        <v>43130.182589999989</v>
      </c>
      <c r="X34" s="25">
        <f t="shared" si="19"/>
        <v>14.376727529999997</v>
      </c>
      <c r="Y34" s="40">
        <f t="shared" si="44"/>
        <v>13750</v>
      </c>
      <c r="Z34" s="40">
        <f t="shared" si="44"/>
        <v>13750</v>
      </c>
      <c r="AA34" s="40">
        <f t="shared" si="44"/>
        <v>13750</v>
      </c>
      <c r="AB34" s="40">
        <f t="shared" si="44"/>
        <v>13750</v>
      </c>
      <c r="AC34" s="40">
        <f t="shared" si="44"/>
        <v>13750</v>
      </c>
      <c r="AD34" s="40">
        <f t="shared" si="44"/>
        <v>13750</v>
      </c>
      <c r="AE34" s="40">
        <f t="shared" si="44"/>
        <v>13750</v>
      </c>
      <c r="AF34" s="40">
        <f t="shared" si="44"/>
        <v>13750</v>
      </c>
      <c r="AG34" s="40">
        <f t="shared" si="44"/>
        <v>13750</v>
      </c>
      <c r="AH34" s="40">
        <f t="shared" si="44"/>
        <v>13750</v>
      </c>
      <c r="AI34" s="40">
        <f t="shared" si="45"/>
        <v>13750</v>
      </c>
      <c r="AJ34" s="40">
        <f t="shared" si="45"/>
        <v>13750</v>
      </c>
      <c r="AK34" s="40">
        <f t="shared" si="45"/>
        <v>14300</v>
      </c>
      <c r="AL34" s="40">
        <f t="shared" si="45"/>
        <v>14300</v>
      </c>
      <c r="AM34" s="40">
        <f t="shared" si="45"/>
        <v>14300</v>
      </c>
      <c r="AN34" s="40">
        <f t="shared" si="45"/>
        <v>14300</v>
      </c>
      <c r="AO34" s="40">
        <f t="shared" si="45"/>
        <v>14300</v>
      </c>
      <c r="AP34" s="40">
        <f t="shared" si="45"/>
        <v>14300</v>
      </c>
      <c r="AQ34" s="40">
        <f t="shared" si="45"/>
        <v>14300</v>
      </c>
      <c r="AR34" s="40">
        <f t="shared" si="45"/>
        <v>14300</v>
      </c>
      <c r="AS34" s="40">
        <f t="shared" si="46"/>
        <v>14300</v>
      </c>
      <c r="AT34" s="40">
        <f t="shared" si="46"/>
        <v>14300</v>
      </c>
      <c r="AU34" s="40">
        <f t="shared" si="46"/>
        <v>14300</v>
      </c>
      <c r="AV34" s="40">
        <f t="shared" si="46"/>
        <v>14300</v>
      </c>
      <c r="AW34" s="40">
        <f t="shared" si="46"/>
        <v>14872.000000000002</v>
      </c>
      <c r="AX34" s="40">
        <f t="shared" si="46"/>
        <v>14872.000000000002</v>
      </c>
      <c r="AY34" s="40">
        <f t="shared" si="46"/>
        <v>14872.000000000002</v>
      </c>
      <c r="AZ34" s="40">
        <f t="shared" si="46"/>
        <v>14872.000000000002</v>
      </c>
      <c r="BA34" s="40">
        <f t="shared" si="46"/>
        <v>14872.000000000002</v>
      </c>
      <c r="BB34" s="40">
        <f t="shared" si="46"/>
        <v>14872.000000000002</v>
      </c>
      <c r="BC34" s="40">
        <f t="shared" si="47"/>
        <v>14872.000000000002</v>
      </c>
      <c r="BD34" s="40">
        <f t="shared" si="47"/>
        <v>14872.000000000002</v>
      </c>
      <c r="BE34" s="40">
        <f t="shared" si="47"/>
        <v>14872.000000000002</v>
      </c>
      <c r="BF34" s="40">
        <f t="shared" si="47"/>
        <v>14872.000000000002</v>
      </c>
      <c r="BG34" s="40">
        <f t="shared" si="47"/>
        <v>14872.000000000002</v>
      </c>
      <c r="BH34" s="40">
        <f t="shared" si="47"/>
        <v>14872.000000000002</v>
      </c>
      <c r="BI34" s="40">
        <f t="shared" si="47"/>
        <v>15466.880000000003</v>
      </c>
      <c r="BJ34" s="40">
        <f t="shared" si="47"/>
        <v>15466.880000000003</v>
      </c>
      <c r="BK34" s="40">
        <f t="shared" si="47"/>
        <v>15466.880000000003</v>
      </c>
      <c r="BL34" s="40">
        <f t="shared" si="47"/>
        <v>15466.880000000003</v>
      </c>
      <c r="BM34" s="40">
        <f t="shared" si="48"/>
        <v>15466.880000000003</v>
      </c>
      <c r="BN34" s="40">
        <f t="shared" si="48"/>
        <v>15466.880000000003</v>
      </c>
      <c r="BO34" s="40">
        <f t="shared" si="48"/>
        <v>15466.880000000003</v>
      </c>
      <c r="BP34" s="40">
        <f t="shared" si="48"/>
        <v>15466.880000000003</v>
      </c>
      <c r="BQ34" s="40">
        <f t="shared" si="48"/>
        <v>15466.880000000003</v>
      </c>
      <c r="BR34" s="40">
        <f t="shared" si="48"/>
        <v>15466.880000000003</v>
      </c>
      <c r="BS34" s="40">
        <f t="shared" si="48"/>
        <v>0</v>
      </c>
      <c r="BT34" s="40">
        <f t="shared" si="48"/>
        <v>0</v>
      </c>
      <c r="BU34" s="40">
        <f t="shared" si="48"/>
        <v>0</v>
      </c>
      <c r="BV34" s="40">
        <f t="shared" si="48"/>
        <v>0</v>
      </c>
      <c r="BW34" s="40">
        <f t="shared" si="49"/>
        <v>23961.212549999997</v>
      </c>
      <c r="BX34" s="40">
        <f t="shared" si="49"/>
        <v>23961.212549999997</v>
      </c>
      <c r="BY34" s="40">
        <f t="shared" si="49"/>
        <v>23961.212549999997</v>
      </c>
      <c r="BZ34" s="40">
        <f t="shared" si="49"/>
        <v>23961.212549999997</v>
      </c>
      <c r="CA34" s="40">
        <f t="shared" si="49"/>
        <v>23961.212549999997</v>
      </c>
      <c r="CB34" s="40">
        <f t="shared" si="49"/>
        <v>23961.212549999997</v>
      </c>
      <c r="CC34" s="40">
        <f t="shared" si="49"/>
        <v>23961.212549999997</v>
      </c>
      <c r="CD34" s="40">
        <f t="shared" si="49"/>
        <v>23961.212549999997</v>
      </c>
      <c r="CE34" s="40">
        <f t="shared" si="49"/>
        <v>23961.212549999997</v>
      </c>
      <c r="CF34" s="40">
        <f t="shared" si="49"/>
        <v>23961.212549999997</v>
      </c>
      <c r="CG34" s="40">
        <f t="shared" si="50"/>
        <v>23961.212549999997</v>
      </c>
      <c r="CH34" s="40">
        <f t="shared" si="50"/>
        <v>24919.661051999996</v>
      </c>
      <c r="CI34" s="40">
        <f t="shared" si="50"/>
        <v>24919.661051999996</v>
      </c>
      <c r="CJ34" s="40">
        <f t="shared" si="50"/>
        <v>24919.661051999996</v>
      </c>
      <c r="CK34" s="40">
        <f t="shared" si="50"/>
        <v>24919.661051999996</v>
      </c>
      <c r="CL34" s="40">
        <f t="shared" si="50"/>
        <v>24919.661051999996</v>
      </c>
      <c r="CM34" s="40">
        <f t="shared" si="50"/>
        <v>24919.661051999996</v>
      </c>
      <c r="CN34" s="40">
        <f t="shared" si="50"/>
        <v>24919.661051999996</v>
      </c>
      <c r="CO34" s="40">
        <f t="shared" si="50"/>
        <v>24919.661051999996</v>
      </c>
      <c r="CP34" s="40">
        <f t="shared" si="50"/>
        <v>24919.661051999996</v>
      </c>
      <c r="CQ34" s="40">
        <f t="shared" si="51"/>
        <v>24919.661051999996</v>
      </c>
      <c r="CR34" s="40">
        <f t="shared" si="51"/>
        <v>24919.661051999996</v>
      </c>
      <c r="CS34" s="40">
        <f t="shared" si="51"/>
        <v>24919.661051999996</v>
      </c>
      <c r="CT34" s="40">
        <f t="shared" si="51"/>
        <v>25916.447494079999</v>
      </c>
      <c r="CU34" s="40">
        <f t="shared" si="51"/>
        <v>25916.447494079999</v>
      </c>
      <c r="CV34" s="40">
        <f t="shared" si="51"/>
        <v>25916.447494079999</v>
      </c>
      <c r="CW34" s="40">
        <f t="shared" si="51"/>
        <v>25916.447494079999</v>
      </c>
      <c r="CX34" s="40">
        <f t="shared" si="51"/>
        <v>25916.447494079999</v>
      </c>
      <c r="CY34" s="40">
        <f t="shared" si="51"/>
        <v>25916.447494079999</v>
      </c>
      <c r="CZ34" s="40">
        <f t="shared" si="51"/>
        <v>25916.447494079999</v>
      </c>
      <c r="DA34" s="40">
        <f t="shared" si="52"/>
        <v>25916.447494079999</v>
      </c>
      <c r="DB34" s="40">
        <f t="shared" si="52"/>
        <v>25916.447494079999</v>
      </c>
      <c r="DC34" s="40">
        <f t="shared" si="52"/>
        <v>25916.447494079999</v>
      </c>
      <c r="DD34" s="40">
        <f t="shared" si="52"/>
        <v>25916.447494079999</v>
      </c>
      <c r="DE34" s="40">
        <f t="shared" si="52"/>
        <v>25916.447494079999</v>
      </c>
      <c r="DF34" s="40">
        <f t="shared" si="52"/>
        <v>26953.105393843198</v>
      </c>
      <c r="DG34" s="40">
        <f t="shared" si="52"/>
        <v>26953.105393843198</v>
      </c>
      <c r="DH34" s="40">
        <f t="shared" si="52"/>
        <v>26953.105393843198</v>
      </c>
      <c r="DI34" s="40">
        <f t="shared" si="52"/>
        <v>26953.105393843198</v>
      </c>
      <c r="DJ34" s="40">
        <f t="shared" si="52"/>
        <v>26953.105393843198</v>
      </c>
      <c r="DK34" s="40">
        <f t="shared" si="53"/>
        <v>26953.105393843198</v>
      </c>
      <c r="DL34" s="40">
        <f t="shared" si="53"/>
        <v>26953.105393843198</v>
      </c>
      <c r="DM34" s="40">
        <f t="shared" si="53"/>
        <v>26953.105393843198</v>
      </c>
      <c r="DN34" s="40">
        <f t="shared" si="53"/>
        <v>26953.105393843198</v>
      </c>
      <c r="DO34" s="40">
        <f t="shared" si="53"/>
        <v>26953.105393843198</v>
      </c>
      <c r="DP34" s="40">
        <f t="shared" si="53"/>
        <v>26953.105393843198</v>
      </c>
      <c r="DQ34" s="40">
        <f t="shared" si="53"/>
        <v>26953.105393843198</v>
      </c>
      <c r="DR34" s="40">
        <f t="shared" si="53"/>
        <v>28031.229609596932</v>
      </c>
      <c r="DS34" s="40">
        <f t="shared" si="53"/>
        <v>28031.229609596932</v>
      </c>
      <c r="DT34" s="40">
        <f t="shared" si="53"/>
        <v>28031.229609596932</v>
      </c>
      <c r="DU34" s="40">
        <f t="shared" si="54"/>
        <v>28031.229609596932</v>
      </c>
      <c r="DV34" s="40">
        <f t="shared" si="54"/>
        <v>28031.229609596932</v>
      </c>
      <c r="DW34" s="40">
        <f t="shared" si="54"/>
        <v>28031.229609596932</v>
      </c>
      <c r="DX34" s="40">
        <f t="shared" si="54"/>
        <v>28031.229609596932</v>
      </c>
      <c r="DY34" s="40">
        <f t="shared" si="54"/>
        <v>28031.229609596932</v>
      </c>
      <c r="DZ34" s="40">
        <f t="shared" si="54"/>
        <v>28031.229609596932</v>
      </c>
      <c r="EA34" s="40">
        <f t="shared" si="54"/>
        <v>28031.229609596932</v>
      </c>
      <c r="EB34" s="40">
        <f t="shared" si="54"/>
        <v>28031.229609596932</v>
      </c>
      <c r="EC34" s="40">
        <f t="shared" si="54"/>
        <v>28031.229609596932</v>
      </c>
      <c r="ED34" s="40">
        <f t="shared" si="54"/>
        <v>29152.478793980812</v>
      </c>
      <c r="EE34" s="40">
        <f t="shared" si="55"/>
        <v>29152.478793980812</v>
      </c>
      <c r="EF34" s="40">
        <f t="shared" si="55"/>
        <v>29152.478793980812</v>
      </c>
      <c r="EG34" s="40">
        <f t="shared" si="55"/>
        <v>29152.478793980812</v>
      </c>
      <c r="EH34" s="40">
        <f t="shared" si="55"/>
        <v>29152.478793980812</v>
      </c>
      <c r="EI34" s="40">
        <f t="shared" si="55"/>
        <v>29152.478793980812</v>
      </c>
      <c r="EJ34" s="40">
        <f t="shared" si="55"/>
        <v>29152.478793980812</v>
      </c>
      <c r="EK34" s="40">
        <f t="shared" si="55"/>
        <v>29152.478793980812</v>
      </c>
      <c r="EL34" s="40">
        <f t="shared" si="55"/>
        <v>29152.478793980812</v>
      </c>
      <c r="EM34" s="40">
        <f t="shared" si="55"/>
        <v>29152.478793980812</v>
      </c>
      <c r="EN34" s="40">
        <f t="shared" si="55"/>
        <v>29152.478793980812</v>
      </c>
    </row>
    <row r="35" spans="2:144" x14ac:dyDescent="0.35">
      <c r="B35" s="37" t="s">
        <v>316</v>
      </c>
      <c r="C35" s="19" t="s">
        <v>317</v>
      </c>
      <c r="D35" s="20">
        <v>30000</v>
      </c>
      <c r="E35" s="18">
        <f t="shared" si="8"/>
        <v>2.4736147757255935E-2</v>
      </c>
      <c r="F35" s="38">
        <v>45383</v>
      </c>
      <c r="G35" s="38">
        <v>46447</v>
      </c>
      <c r="H35" s="32">
        <v>8.75</v>
      </c>
      <c r="I35" s="28">
        <f t="shared" si="9"/>
        <v>262500</v>
      </c>
      <c r="J35" s="26">
        <v>0.04</v>
      </c>
      <c r="K35" s="37" t="s">
        <v>266</v>
      </c>
      <c r="L35" s="32">
        <v>11</v>
      </c>
      <c r="M35" s="37" t="s">
        <v>267</v>
      </c>
      <c r="N35" s="39">
        <f t="shared" si="10"/>
        <v>4</v>
      </c>
      <c r="O35" s="39">
        <f t="shared" si="11"/>
        <v>39</v>
      </c>
      <c r="P35" s="39">
        <f t="shared" si="12"/>
        <v>40</v>
      </c>
      <c r="Q35" s="39">
        <f t="shared" si="13"/>
        <v>3</v>
      </c>
      <c r="R35" s="39">
        <f t="shared" si="14"/>
        <v>43</v>
      </c>
      <c r="S35" s="39">
        <f t="shared" si="15"/>
        <v>1</v>
      </c>
      <c r="T35" s="39">
        <f t="shared" si="16"/>
        <v>44</v>
      </c>
      <c r="U35" s="39">
        <f t="shared" si="17"/>
        <v>4</v>
      </c>
      <c r="V35" s="39">
        <f t="shared" si="18"/>
        <v>71250</v>
      </c>
      <c r="W35" s="39">
        <f>IF(D35="",0,Retention_Ratio*LC_Ren*LeaseTermYrs*'Rent Roll'!D35*'Rent Roll'!X35+(1-Retention_Ratio)*LC_Ren*LeaseTermYrs*'Rent Roll'!D35*'Rent Roll'!X35)</f>
        <v>57298.551749999999</v>
      </c>
      <c r="X35" s="25">
        <f t="shared" si="19"/>
        <v>12.7330115</v>
      </c>
      <c r="Y35" s="40">
        <f t="shared" si="44"/>
        <v>0</v>
      </c>
      <c r="Z35" s="40">
        <f t="shared" si="44"/>
        <v>0</v>
      </c>
      <c r="AA35" s="40">
        <f t="shared" si="44"/>
        <v>0</v>
      </c>
      <c r="AB35" s="40">
        <f t="shared" si="44"/>
        <v>21875</v>
      </c>
      <c r="AC35" s="40">
        <f t="shared" si="44"/>
        <v>21875</v>
      </c>
      <c r="AD35" s="40">
        <f t="shared" si="44"/>
        <v>21875</v>
      </c>
      <c r="AE35" s="40">
        <f t="shared" si="44"/>
        <v>21875</v>
      </c>
      <c r="AF35" s="40">
        <f t="shared" si="44"/>
        <v>21875</v>
      </c>
      <c r="AG35" s="40">
        <f t="shared" si="44"/>
        <v>21875</v>
      </c>
      <c r="AH35" s="40">
        <f t="shared" si="44"/>
        <v>21875</v>
      </c>
      <c r="AI35" s="40">
        <f t="shared" si="45"/>
        <v>21875</v>
      </c>
      <c r="AJ35" s="40">
        <f t="shared" si="45"/>
        <v>21875</v>
      </c>
      <c r="AK35" s="40">
        <f t="shared" si="45"/>
        <v>22750</v>
      </c>
      <c r="AL35" s="40">
        <f t="shared" si="45"/>
        <v>22750</v>
      </c>
      <c r="AM35" s="40">
        <f t="shared" si="45"/>
        <v>22750</v>
      </c>
      <c r="AN35" s="40">
        <f t="shared" si="45"/>
        <v>22750</v>
      </c>
      <c r="AO35" s="40">
        <f t="shared" si="45"/>
        <v>22750</v>
      </c>
      <c r="AP35" s="40">
        <f t="shared" si="45"/>
        <v>22750</v>
      </c>
      <c r="AQ35" s="40">
        <f t="shared" si="45"/>
        <v>22750</v>
      </c>
      <c r="AR35" s="40">
        <f t="shared" si="45"/>
        <v>22750</v>
      </c>
      <c r="AS35" s="40">
        <f t="shared" si="46"/>
        <v>22750</v>
      </c>
      <c r="AT35" s="40">
        <f t="shared" si="46"/>
        <v>22750</v>
      </c>
      <c r="AU35" s="40">
        <f t="shared" si="46"/>
        <v>22750</v>
      </c>
      <c r="AV35" s="40">
        <f t="shared" si="46"/>
        <v>22750</v>
      </c>
      <c r="AW35" s="40">
        <f t="shared" si="46"/>
        <v>23660.000000000004</v>
      </c>
      <c r="AX35" s="40">
        <f t="shared" si="46"/>
        <v>23660.000000000004</v>
      </c>
      <c r="AY35" s="40">
        <f t="shared" si="46"/>
        <v>23660.000000000004</v>
      </c>
      <c r="AZ35" s="40">
        <f t="shared" si="46"/>
        <v>23660.000000000004</v>
      </c>
      <c r="BA35" s="40">
        <f t="shared" si="46"/>
        <v>23660.000000000004</v>
      </c>
      <c r="BB35" s="40">
        <f t="shared" si="46"/>
        <v>23660.000000000004</v>
      </c>
      <c r="BC35" s="40">
        <f t="shared" si="47"/>
        <v>23660.000000000004</v>
      </c>
      <c r="BD35" s="40">
        <f t="shared" si="47"/>
        <v>23660.000000000004</v>
      </c>
      <c r="BE35" s="40">
        <f t="shared" si="47"/>
        <v>23660.000000000004</v>
      </c>
      <c r="BF35" s="40">
        <f t="shared" si="47"/>
        <v>23660.000000000004</v>
      </c>
      <c r="BG35" s="40">
        <f t="shared" si="47"/>
        <v>23660.000000000004</v>
      </c>
      <c r="BH35" s="40">
        <f t="shared" si="47"/>
        <v>23660.000000000004</v>
      </c>
      <c r="BI35" s="40">
        <f t="shared" si="47"/>
        <v>24606.400000000005</v>
      </c>
      <c r="BJ35" s="40">
        <f t="shared" si="47"/>
        <v>24606.400000000005</v>
      </c>
      <c r="BK35" s="40">
        <f t="shared" si="47"/>
        <v>24606.400000000005</v>
      </c>
      <c r="BL35" s="40">
        <f t="shared" si="47"/>
        <v>0</v>
      </c>
      <c r="BM35" s="40">
        <f t="shared" si="48"/>
        <v>0</v>
      </c>
      <c r="BN35" s="40">
        <f t="shared" si="48"/>
        <v>0</v>
      </c>
      <c r="BO35" s="40">
        <f t="shared" si="48"/>
        <v>0</v>
      </c>
      <c r="BP35" s="40">
        <f t="shared" si="48"/>
        <v>31832.528749999998</v>
      </c>
      <c r="BQ35" s="40">
        <f t="shared" si="48"/>
        <v>31832.528749999998</v>
      </c>
      <c r="BR35" s="40">
        <f t="shared" si="48"/>
        <v>31832.528749999998</v>
      </c>
      <c r="BS35" s="40">
        <f t="shared" si="48"/>
        <v>31832.528749999998</v>
      </c>
      <c r="BT35" s="40">
        <f t="shared" si="48"/>
        <v>31832.528749999998</v>
      </c>
      <c r="BU35" s="40">
        <f t="shared" si="48"/>
        <v>31832.528749999998</v>
      </c>
      <c r="BV35" s="40">
        <f t="shared" si="48"/>
        <v>31832.528749999998</v>
      </c>
      <c r="BW35" s="40">
        <f t="shared" si="49"/>
        <v>31832.528749999998</v>
      </c>
      <c r="BX35" s="40">
        <f t="shared" si="49"/>
        <v>31832.528749999998</v>
      </c>
      <c r="BY35" s="40">
        <f t="shared" si="49"/>
        <v>31832.528749999998</v>
      </c>
      <c r="BZ35" s="40">
        <f t="shared" si="49"/>
        <v>31832.528749999998</v>
      </c>
      <c r="CA35" s="40">
        <f t="shared" si="49"/>
        <v>33105.829899999997</v>
      </c>
      <c r="CB35" s="40">
        <f t="shared" si="49"/>
        <v>33105.829899999997</v>
      </c>
      <c r="CC35" s="40">
        <f t="shared" si="49"/>
        <v>33105.829899999997</v>
      </c>
      <c r="CD35" s="40">
        <f t="shared" si="49"/>
        <v>33105.829899999997</v>
      </c>
      <c r="CE35" s="40">
        <f t="shared" si="49"/>
        <v>33105.829899999997</v>
      </c>
      <c r="CF35" s="40">
        <f t="shared" si="49"/>
        <v>33105.829899999997</v>
      </c>
      <c r="CG35" s="40">
        <f t="shared" si="50"/>
        <v>33105.829899999997</v>
      </c>
      <c r="CH35" s="40">
        <f t="shared" si="50"/>
        <v>33105.829899999997</v>
      </c>
      <c r="CI35" s="40">
        <f t="shared" si="50"/>
        <v>33105.829899999997</v>
      </c>
      <c r="CJ35" s="40">
        <f t="shared" si="50"/>
        <v>33105.829899999997</v>
      </c>
      <c r="CK35" s="40">
        <f t="shared" si="50"/>
        <v>33105.829899999997</v>
      </c>
      <c r="CL35" s="40">
        <f t="shared" si="50"/>
        <v>33105.829899999997</v>
      </c>
      <c r="CM35" s="40">
        <f t="shared" si="50"/>
        <v>34430.063096000005</v>
      </c>
      <c r="CN35" s="40">
        <f t="shared" si="50"/>
        <v>34430.063096000005</v>
      </c>
      <c r="CO35" s="40">
        <f t="shared" si="50"/>
        <v>34430.063096000005</v>
      </c>
      <c r="CP35" s="40">
        <f t="shared" si="50"/>
        <v>34430.063096000005</v>
      </c>
      <c r="CQ35" s="40">
        <f t="shared" si="51"/>
        <v>34430.063096000005</v>
      </c>
      <c r="CR35" s="40">
        <f t="shared" si="51"/>
        <v>34430.063096000005</v>
      </c>
      <c r="CS35" s="40">
        <f t="shared" si="51"/>
        <v>34430.063096000005</v>
      </c>
      <c r="CT35" s="40">
        <f t="shared" si="51"/>
        <v>34430.063096000005</v>
      </c>
      <c r="CU35" s="40">
        <f t="shared" si="51"/>
        <v>34430.063096000005</v>
      </c>
      <c r="CV35" s="40">
        <f t="shared" si="51"/>
        <v>34430.063096000005</v>
      </c>
      <c r="CW35" s="40">
        <f t="shared" si="51"/>
        <v>34430.063096000005</v>
      </c>
      <c r="CX35" s="40">
        <f t="shared" si="51"/>
        <v>34430.063096000005</v>
      </c>
      <c r="CY35" s="40">
        <f t="shared" si="51"/>
        <v>35807.26561984</v>
      </c>
      <c r="CZ35" s="40">
        <f t="shared" si="51"/>
        <v>35807.26561984</v>
      </c>
      <c r="DA35" s="40">
        <f t="shared" si="52"/>
        <v>35807.26561984</v>
      </c>
      <c r="DB35" s="40">
        <f t="shared" si="52"/>
        <v>35807.26561984</v>
      </c>
      <c r="DC35" s="40">
        <f t="shared" si="52"/>
        <v>35807.26561984</v>
      </c>
      <c r="DD35" s="40">
        <f t="shared" si="52"/>
        <v>35807.26561984</v>
      </c>
      <c r="DE35" s="40">
        <f t="shared" si="52"/>
        <v>35807.26561984</v>
      </c>
      <c r="DF35" s="40">
        <f t="shared" si="52"/>
        <v>35807.26561984</v>
      </c>
      <c r="DG35" s="40">
        <f t="shared" si="52"/>
        <v>35807.26561984</v>
      </c>
      <c r="DH35" s="40">
        <f t="shared" si="52"/>
        <v>35807.26561984</v>
      </c>
      <c r="DI35" s="40">
        <f t="shared" si="52"/>
        <v>35807.26561984</v>
      </c>
      <c r="DJ35" s="40">
        <f t="shared" si="52"/>
        <v>35807.26561984</v>
      </c>
      <c r="DK35" s="40">
        <f t="shared" si="53"/>
        <v>37239.556244633604</v>
      </c>
      <c r="DL35" s="40">
        <f t="shared" si="53"/>
        <v>37239.556244633604</v>
      </c>
      <c r="DM35" s="40">
        <f t="shared" si="53"/>
        <v>37239.556244633604</v>
      </c>
      <c r="DN35" s="40">
        <f t="shared" si="53"/>
        <v>37239.556244633604</v>
      </c>
      <c r="DO35" s="40">
        <f t="shared" si="53"/>
        <v>37239.556244633604</v>
      </c>
      <c r="DP35" s="40">
        <f t="shared" si="53"/>
        <v>37239.556244633604</v>
      </c>
      <c r="DQ35" s="40">
        <f t="shared" si="53"/>
        <v>37239.556244633604</v>
      </c>
      <c r="DR35" s="40">
        <f t="shared" si="53"/>
        <v>37239.556244633604</v>
      </c>
      <c r="DS35" s="40">
        <f t="shared" si="53"/>
        <v>37239.556244633604</v>
      </c>
      <c r="DT35" s="40">
        <f t="shared" si="53"/>
        <v>37239.556244633604</v>
      </c>
      <c r="DU35" s="40">
        <f t="shared" si="54"/>
        <v>37239.556244633604</v>
      </c>
      <c r="DV35" s="40">
        <f t="shared" si="54"/>
        <v>37239.556244633604</v>
      </c>
      <c r="DW35" s="40">
        <f t="shared" si="54"/>
        <v>38729.138494418956</v>
      </c>
      <c r="DX35" s="40">
        <f t="shared" si="54"/>
        <v>38729.138494418956</v>
      </c>
      <c r="DY35" s="40">
        <f t="shared" si="54"/>
        <v>38729.138494418956</v>
      </c>
      <c r="DZ35" s="40">
        <f t="shared" si="54"/>
        <v>38729.138494418956</v>
      </c>
      <c r="EA35" s="40">
        <f t="shared" si="54"/>
        <v>38729.138494418956</v>
      </c>
      <c r="EB35" s="40">
        <f t="shared" si="54"/>
        <v>38729.138494418956</v>
      </c>
      <c r="EC35" s="40">
        <f t="shared" si="54"/>
        <v>38729.138494418956</v>
      </c>
      <c r="ED35" s="40">
        <f t="shared" si="54"/>
        <v>38729.138494418956</v>
      </c>
      <c r="EE35" s="40">
        <f t="shared" si="55"/>
        <v>38729.138494418956</v>
      </c>
      <c r="EF35" s="40">
        <f t="shared" si="55"/>
        <v>38729.138494418956</v>
      </c>
      <c r="EG35" s="40">
        <f t="shared" si="55"/>
        <v>38729.138494418956</v>
      </c>
      <c r="EH35" s="40">
        <f t="shared" si="55"/>
        <v>38729.138494418956</v>
      </c>
      <c r="EI35" s="40">
        <f t="shared" si="55"/>
        <v>40278.304034195709</v>
      </c>
      <c r="EJ35" s="40">
        <f t="shared" si="55"/>
        <v>40278.304034195709</v>
      </c>
      <c r="EK35" s="40">
        <f t="shared" si="55"/>
        <v>40278.304034195709</v>
      </c>
      <c r="EL35" s="40">
        <f t="shared" si="55"/>
        <v>40278.304034195709</v>
      </c>
      <c r="EM35" s="40">
        <f t="shared" si="55"/>
        <v>40278.304034195709</v>
      </c>
      <c r="EN35" s="40">
        <f t="shared" si="55"/>
        <v>40278.304034195709</v>
      </c>
    </row>
    <row r="36" spans="2:144" x14ac:dyDescent="0.35">
      <c r="B36" s="37" t="s">
        <v>318</v>
      </c>
      <c r="C36" s="19" t="s">
        <v>319</v>
      </c>
      <c r="D36" s="20">
        <v>30000</v>
      </c>
      <c r="E36" s="18">
        <f t="shared" si="8"/>
        <v>2.4736147757255935E-2</v>
      </c>
      <c r="F36" s="38">
        <v>44927</v>
      </c>
      <c r="G36" s="38">
        <v>44927</v>
      </c>
      <c r="H36" s="32">
        <v>0</v>
      </c>
      <c r="I36" s="28">
        <f t="shared" si="9"/>
        <v>0</v>
      </c>
      <c r="J36" s="26">
        <v>0</v>
      </c>
      <c r="K36" s="37" t="s">
        <v>266</v>
      </c>
      <c r="L36" s="32">
        <v>8</v>
      </c>
      <c r="M36" s="37" t="s">
        <v>278</v>
      </c>
      <c r="N36" s="39">
        <f t="shared" si="10"/>
        <v>-11</v>
      </c>
      <c r="O36" s="39">
        <f t="shared" si="11"/>
        <v>-11</v>
      </c>
      <c r="P36" s="39">
        <f t="shared" si="12"/>
        <v>1</v>
      </c>
      <c r="Q36" s="39">
        <f t="shared" si="13"/>
        <v>3</v>
      </c>
      <c r="R36" s="39">
        <f t="shared" si="14"/>
        <v>4</v>
      </c>
      <c r="S36" s="39">
        <f t="shared" si="15"/>
        <v>1</v>
      </c>
      <c r="T36" s="39">
        <f t="shared" si="16"/>
        <v>5</v>
      </c>
      <c r="U36" s="39">
        <f t="shared" si="17"/>
        <v>1</v>
      </c>
      <c r="V36" s="39">
        <f t="shared" si="18"/>
        <v>71250</v>
      </c>
      <c r="W36" s="39">
        <f>IF(D36="",0,Retention_Ratio*LC_Ren*LeaseTermYrs*'Rent Roll'!D36*'Rent Roll'!X36+(1-Retention_Ratio)*LC_Ren*LeaseTermYrs*'Rent Roll'!D36*'Rent Roll'!X36)</f>
        <v>36000</v>
      </c>
      <c r="X36" s="25">
        <f t="shared" si="19"/>
        <v>8</v>
      </c>
      <c r="Y36" s="40">
        <f t="shared" si="44"/>
        <v>0</v>
      </c>
      <c r="Z36" s="40">
        <f t="shared" si="44"/>
        <v>0</v>
      </c>
      <c r="AA36" s="40">
        <f t="shared" si="44"/>
        <v>0</v>
      </c>
      <c r="AB36" s="40">
        <f t="shared" si="44"/>
        <v>0</v>
      </c>
      <c r="AC36" s="40">
        <f t="shared" si="44"/>
        <v>20000</v>
      </c>
      <c r="AD36" s="40">
        <f t="shared" si="44"/>
        <v>20000</v>
      </c>
      <c r="AE36" s="40">
        <f t="shared" si="44"/>
        <v>20000</v>
      </c>
      <c r="AF36" s="40">
        <f t="shared" si="44"/>
        <v>20000</v>
      </c>
      <c r="AG36" s="40">
        <f t="shared" si="44"/>
        <v>20000</v>
      </c>
      <c r="AH36" s="40">
        <f t="shared" si="44"/>
        <v>20000</v>
      </c>
      <c r="AI36" s="40">
        <f t="shared" si="45"/>
        <v>20000</v>
      </c>
      <c r="AJ36" s="40">
        <f t="shared" si="45"/>
        <v>20000</v>
      </c>
      <c r="AK36" s="40">
        <f t="shared" si="45"/>
        <v>20000</v>
      </c>
      <c r="AL36" s="40">
        <f t="shared" si="45"/>
        <v>20000</v>
      </c>
      <c r="AM36" s="40">
        <f t="shared" si="45"/>
        <v>20000</v>
      </c>
      <c r="AN36" s="40">
        <f t="shared" si="45"/>
        <v>20000</v>
      </c>
      <c r="AO36" s="40">
        <f t="shared" si="45"/>
        <v>20000</v>
      </c>
      <c r="AP36" s="40">
        <f t="shared" si="45"/>
        <v>20000</v>
      </c>
      <c r="AQ36" s="40">
        <f t="shared" si="45"/>
        <v>20000</v>
      </c>
      <c r="AR36" s="40">
        <f t="shared" si="45"/>
        <v>20000</v>
      </c>
      <c r="AS36" s="40">
        <f t="shared" si="46"/>
        <v>20000</v>
      </c>
      <c r="AT36" s="40">
        <f t="shared" si="46"/>
        <v>20000</v>
      </c>
      <c r="AU36" s="40">
        <f t="shared" si="46"/>
        <v>20000</v>
      </c>
      <c r="AV36" s="40">
        <f t="shared" si="46"/>
        <v>20000</v>
      </c>
      <c r="AW36" s="40">
        <f t="shared" si="46"/>
        <v>20000</v>
      </c>
      <c r="AX36" s="40">
        <f t="shared" si="46"/>
        <v>20000</v>
      </c>
      <c r="AY36" s="40">
        <f t="shared" si="46"/>
        <v>20000</v>
      </c>
      <c r="AZ36" s="40">
        <f t="shared" si="46"/>
        <v>20000</v>
      </c>
      <c r="BA36" s="40">
        <f t="shared" si="46"/>
        <v>20000</v>
      </c>
      <c r="BB36" s="40">
        <f t="shared" si="46"/>
        <v>20000</v>
      </c>
      <c r="BC36" s="40">
        <f t="shared" si="47"/>
        <v>20000</v>
      </c>
      <c r="BD36" s="40">
        <f t="shared" si="47"/>
        <v>20000</v>
      </c>
      <c r="BE36" s="40">
        <f t="shared" si="47"/>
        <v>20000</v>
      </c>
      <c r="BF36" s="40">
        <f t="shared" si="47"/>
        <v>20000</v>
      </c>
      <c r="BG36" s="40">
        <f t="shared" si="47"/>
        <v>20000</v>
      </c>
      <c r="BH36" s="40">
        <f t="shared" si="47"/>
        <v>20000</v>
      </c>
      <c r="BI36" s="40">
        <f t="shared" si="47"/>
        <v>20000</v>
      </c>
      <c r="BJ36" s="40">
        <f t="shared" si="47"/>
        <v>20000</v>
      </c>
      <c r="BK36" s="40">
        <f t="shared" si="47"/>
        <v>20000</v>
      </c>
      <c r="BL36" s="40">
        <f t="shared" si="47"/>
        <v>20000</v>
      </c>
      <c r="BM36" s="40">
        <f t="shared" si="48"/>
        <v>20000</v>
      </c>
      <c r="BN36" s="40">
        <f t="shared" si="48"/>
        <v>20000</v>
      </c>
      <c r="BO36" s="40">
        <f t="shared" si="48"/>
        <v>20000</v>
      </c>
      <c r="BP36" s="40">
        <f t="shared" si="48"/>
        <v>20000</v>
      </c>
      <c r="BQ36" s="40">
        <f t="shared" si="48"/>
        <v>20000</v>
      </c>
      <c r="BR36" s="40">
        <f t="shared" si="48"/>
        <v>20000</v>
      </c>
      <c r="BS36" s="40">
        <f t="shared" si="48"/>
        <v>20000</v>
      </c>
      <c r="BT36" s="40">
        <f t="shared" si="48"/>
        <v>20000</v>
      </c>
      <c r="BU36" s="40">
        <f t="shared" si="48"/>
        <v>20000</v>
      </c>
      <c r="BV36" s="40">
        <f t="shared" si="48"/>
        <v>20000</v>
      </c>
      <c r="BW36" s="40">
        <f t="shared" si="49"/>
        <v>20000</v>
      </c>
      <c r="BX36" s="40">
        <f t="shared" si="49"/>
        <v>20000</v>
      </c>
      <c r="BY36" s="40">
        <f t="shared" si="49"/>
        <v>20000</v>
      </c>
      <c r="BZ36" s="40">
        <f t="shared" si="49"/>
        <v>20000</v>
      </c>
      <c r="CA36" s="40">
        <f t="shared" si="49"/>
        <v>20000</v>
      </c>
      <c r="CB36" s="40">
        <f t="shared" si="49"/>
        <v>20000</v>
      </c>
      <c r="CC36" s="40">
        <f t="shared" si="49"/>
        <v>20000</v>
      </c>
      <c r="CD36" s="40">
        <f t="shared" si="49"/>
        <v>20000</v>
      </c>
      <c r="CE36" s="40">
        <f t="shared" si="49"/>
        <v>20000</v>
      </c>
      <c r="CF36" s="40">
        <f t="shared" si="49"/>
        <v>20000</v>
      </c>
      <c r="CG36" s="40">
        <f t="shared" si="50"/>
        <v>20000</v>
      </c>
      <c r="CH36" s="40">
        <f t="shared" si="50"/>
        <v>20000</v>
      </c>
      <c r="CI36" s="40">
        <f t="shared" si="50"/>
        <v>20000</v>
      </c>
      <c r="CJ36" s="40">
        <f t="shared" si="50"/>
        <v>20000</v>
      </c>
      <c r="CK36" s="40">
        <f t="shared" si="50"/>
        <v>20000</v>
      </c>
      <c r="CL36" s="40">
        <f t="shared" si="50"/>
        <v>20000</v>
      </c>
      <c r="CM36" s="40">
        <f t="shared" si="50"/>
        <v>20000</v>
      </c>
      <c r="CN36" s="40">
        <f t="shared" si="50"/>
        <v>20000</v>
      </c>
      <c r="CO36" s="40">
        <f t="shared" si="50"/>
        <v>20000</v>
      </c>
      <c r="CP36" s="40">
        <f t="shared" si="50"/>
        <v>20000</v>
      </c>
      <c r="CQ36" s="40">
        <f t="shared" si="51"/>
        <v>20000</v>
      </c>
      <c r="CR36" s="40">
        <f t="shared" si="51"/>
        <v>20000</v>
      </c>
      <c r="CS36" s="40">
        <f t="shared" si="51"/>
        <v>20000</v>
      </c>
      <c r="CT36" s="40">
        <f t="shared" si="51"/>
        <v>20000</v>
      </c>
      <c r="CU36" s="40">
        <f t="shared" si="51"/>
        <v>20000</v>
      </c>
      <c r="CV36" s="40">
        <f t="shared" si="51"/>
        <v>20000</v>
      </c>
      <c r="CW36" s="40">
        <f t="shared" si="51"/>
        <v>20000</v>
      </c>
      <c r="CX36" s="40">
        <f t="shared" si="51"/>
        <v>20000</v>
      </c>
      <c r="CY36" s="40">
        <f t="shared" si="51"/>
        <v>20000</v>
      </c>
      <c r="CZ36" s="40">
        <f t="shared" si="51"/>
        <v>20000</v>
      </c>
      <c r="DA36" s="40">
        <f t="shared" si="52"/>
        <v>20000</v>
      </c>
      <c r="DB36" s="40">
        <f t="shared" si="52"/>
        <v>20000</v>
      </c>
      <c r="DC36" s="40">
        <f t="shared" si="52"/>
        <v>20000</v>
      </c>
      <c r="DD36" s="40">
        <f t="shared" si="52"/>
        <v>20000</v>
      </c>
      <c r="DE36" s="40">
        <f t="shared" si="52"/>
        <v>20000</v>
      </c>
      <c r="DF36" s="40">
        <f t="shared" si="52"/>
        <v>20000</v>
      </c>
      <c r="DG36" s="40">
        <f t="shared" si="52"/>
        <v>20000</v>
      </c>
      <c r="DH36" s="40">
        <f t="shared" si="52"/>
        <v>20000</v>
      </c>
      <c r="DI36" s="40">
        <f t="shared" si="52"/>
        <v>20000</v>
      </c>
      <c r="DJ36" s="40">
        <f t="shared" si="52"/>
        <v>20000</v>
      </c>
      <c r="DK36" s="40">
        <f t="shared" si="53"/>
        <v>20000</v>
      </c>
      <c r="DL36" s="40">
        <f t="shared" si="53"/>
        <v>20000</v>
      </c>
      <c r="DM36" s="40">
        <f t="shared" si="53"/>
        <v>20000</v>
      </c>
      <c r="DN36" s="40">
        <f t="shared" si="53"/>
        <v>20000</v>
      </c>
      <c r="DO36" s="40">
        <f t="shared" si="53"/>
        <v>20000</v>
      </c>
      <c r="DP36" s="40">
        <f t="shared" si="53"/>
        <v>20000</v>
      </c>
      <c r="DQ36" s="40">
        <f t="shared" si="53"/>
        <v>20000</v>
      </c>
      <c r="DR36" s="40">
        <f t="shared" si="53"/>
        <v>20000</v>
      </c>
      <c r="DS36" s="40">
        <f t="shared" si="53"/>
        <v>20000</v>
      </c>
      <c r="DT36" s="40">
        <f t="shared" si="53"/>
        <v>20000</v>
      </c>
      <c r="DU36" s="40">
        <f t="shared" si="54"/>
        <v>20000</v>
      </c>
      <c r="DV36" s="40">
        <f t="shared" si="54"/>
        <v>20000</v>
      </c>
      <c r="DW36" s="40">
        <f t="shared" si="54"/>
        <v>20000</v>
      </c>
      <c r="DX36" s="40">
        <f t="shared" si="54"/>
        <v>20000</v>
      </c>
      <c r="DY36" s="40">
        <f t="shared" si="54"/>
        <v>20000</v>
      </c>
      <c r="DZ36" s="40">
        <f t="shared" si="54"/>
        <v>20000</v>
      </c>
      <c r="EA36" s="40">
        <f t="shared" si="54"/>
        <v>20000</v>
      </c>
      <c r="EB36" s="40">
        <f t="shared" si="54"/>
        <v>20000</v>
      </c>
      <c r="EC36" s="40">
        <f t="shared" si="54"/>
        <v>20000</v>
      </c>
      <c r="ED36" s="40">
        <f t="shared" si="54"/>
        <v>20000</v>
      </c>
      <c r="EE36" s="40">
        <f t="shared" si="55"/>
        <v>20000</v>
      </c>
      <c r="EF36" s="40">
        <f t="shared" si="55"/>
        <v>20000</v>
      </c>
      <c r="EG36" s="40">
        <f t="shared" si="55"/>
        <v>20000</v>
      </c>
      <c r="EH36" s="40">
        <f t="shared" si="55"/>
        <v>20000</v>
      </c>
      <c r="EI36" s="40">
        <f t="shared" si="55"/>
        <v>20000</v>
      </c>
      <c r="EJ36" s="40">
        <f t="shared" si="55"/>
        <v>20000</v>
      </c>
      <c r="EK36" s="40">
        <f t="shared" si="55"/>
        <v>20000</v>
      </c>
      <c r="EL36" s="40">
        <f t="shared" si="55"/>
        <v>20000</v>
      </c>
      <c r="EM36" s="40">
        <f t="shared" si="55"/>
        <v>20000</v>
      </c>
      <c r="EN36" s="40">
        <f t="shared" si="55"/>
        <v>20000</v>
      </c>
    </row>
    <row r="37" spans="2:144" x14ac:dyDescent="0.35">
      <c r="B37" s="37" t="s">
        <v>320</v>
      </c>
      <c r="C37" s="19" t="s">
        <v>321</v>
      </c>
      <c r="D37" s="20">
        <v>64000</v>
      </c>
      <c r="E37" s="18">
        <f t="shared" si="8"/>
        <v>5.2770448548812667E-2</v>
      </c>
      <c r="F37" s="38">
        <v>44927</v>
      </c>
      <c r="G37" s="38">
        <v>44927</v>
      </c>
      <c r="H37" s="32">
        <v>0</v>
      </c>
      <c r="I37" s="28">
        <f t="shared" si="9"/>
        <v>0</v>
      </c>
      <c r="J37" s="26">
        <v>0</v>
      </c>
      <c r="K37" s="37" t="s">
        <v>266</v>
      </c>
      <c r="L37" s="32">
        <v>8</v>
      </c>
      <c r="M37" s="37" t="s">
        <v>278</v>
      </c>
      <c r="N37" s="39">
        <f t="shared" si="10"/>
        <v>-11</v>
      </c>
      <c r="O37" s="39">
        <f t="shared" si="11"/>
        <v>-11</v>
      </c>
      <c r="P37" s="39">
        <f t="shared" si="12"/>
        <v>1</v>
      </c>
      <c r="Q37" s="39">
        <f t="shared" si="13"/>
        <v>3</v>
      </c>
      <c r="R37" s="39">
        <f t="shared" si="14"/>
        <v>4</v>
      </c>
      <c r="S37" s="39">
        <f t="shared" si="15"/>
        <v>1</v>
      </c>
      <c r="T37" s="39">
        <f t="shared" si="16"/>
        <v>5</v>
      </c>
      <c r="U37" s="39">
        <f t="shared" si="17"/>
        <v>1</v>
      </c>
      <c r="V37" s="39">
        <f t="shared" si="18"/>
        <v>152000</v>
      </c>
      <c r="W37" s="39">
        <f>IF(D37="",0,Retention_Ratio*LC_Ren*LeaseTermYrs*'Rent Roll'!D37*'Rent Roll'!X37+(1-Retention_Ratio)*LC_Ren*LeaseTermYrs*'Rent Roll'!D37*'Rent Roll'!X37)</f>
        <v>76800</v>
      </c>
      <c r="X37" s="25">
        <f t="shared" si="19"/>
        <v>8</v>
      </c>
      <c r="Y37" s="40">
        <f t="shared" si="44"/>
        <v>0</v>
      </c>
      <c r="Z37" s="40">
        <f t="shared" si="44"/>
        <v>0</v>
      </c>
      <c r="AA37" s="40">
        <f t="shared" si="44"/>
        <v>0</v>
      </c>
      <c r="AB37" s="40">
        <f t="shared" si="44"/>
        <v>0</v>
      </c>
      <c r="AC37" s="40">
        <f t="shared" si="44"/>
        <v>42666.666666666664</v>
      </c>
      <c r="AD37" s="40">
        <f t="shared" si="44"/>
        <v>42666.666666666664</v>
      </c>
      <c r="AE37" s="40">
        <f t="shared" si="44"/>
        <v>42666.666666666664</v>
      </c>
      <c r="AF37" s="40">
        <f t="shared" si="44"/>
        <v>42666.666666666664</v>
      </c>
      <c r="AG37" s="40">
        <f t="shared" si="44"/>
        <v>42666.666666666664</v>
      </c>
      <c r="AH37" s="40">
        <f t="shared" si="44"/>
        <v>42666.666666666664</v>
      </c>
      <c r="AI37" s="40">
        <f t="shared" si="45"/>
        <v>42666.666666666664</v>
      </c>
      <c r="AJ37" s="40">
        <f t="shared" si="45"/>
        <v>42666.666666666664</v>
      </c>
      <c r="AK37" s="40">
        <f t="shared" si="45"/>
        <v>42666.666666666664</v>
      </c>
      <c r="AL37" s="40">
        <f t="shared" si="45"/>
        <v>42666.666666666664</v>
      </c>
      <c r="AM37" s="40">
        <f t="shared" si="45"/>
        <v>42666.666666666664</v>
      </c>
      <c r="AN37" s="40">
        <f t="shared" si="45"/>
        <v>42666.666666666664</v>
      </c>
      <c r="AO37" s="40">
        <f t="shared" si="45"/>
        <v>42666.666666666664</v>
      </c>
      <c r="AP37" s="40">
        <f t="shared" si="45"/>
        <v>42666.666666666664</v>
      </c>
      <c r="AQ37" s="40">
        <f t="shared" si="45"/>
        <v>42666.666666666664</v>
      </c>
      <c r="AR37" s="40">
        <f t="shared" si="45"/>
        <v>42666.666666666664</v>
      </c>
      <c r="AS37" s="40">
        <f t="shared" si="46"/>
        <v>42666.666666666664</v>
      </c>
      <c r="AT37" s="40">
        <f t="shared" si="46"/>
        <v>42666.666666666664</v>
      </c>
      <c r="AU37" s="40">
        <f t="shared" si="46"/>
        <v>42666.666666666664</v>
      </c>
      <c r="AV37" s="40">
        <f t="shared" si="46"/>
        <v>42666.666666666664</v>
      </c>
      <c r="AW37" s="40">
        <f t="shared" si="46"/>
        <v>42666.666666666664</v>
      </c>
      <c r="AX37" s="40">
        <f t="shared" si="46"/>
        <v>42666.666666666664</v>
      </c>
      <c r="AY37" s="40">
        <f t="shared" si="46"/>
        <v>42666.666666666664</v>
      </c>
      <c r="AZ37" s="40">
        <f t="shared" si="46"/>
        <v>42666.666666666664</v>
      </c>
      <c r="BA37" s="40">
        <f t="shared" si="46"/>
        <v>42666.666666666664</v>
      </c>
      <c r="BB37" s="40">
        <f t="shared" si="46"/>
        <v>42666.666666666664</v>
      </c>
      <c r="BC37" s="40">
        <f t="shared" si="47"/>
        <v>42666.666666666664</v>
      </c>
      <c r="BD37" s="40">
        <f t="shared" si="47"/>
        <v>42666.666666666664</v>
      </c>
      <c r="BE37" s="40">
        <f t="shared" si="47"/>
        <v>42666.666666666664</v>
      </c>
      <c r="BF37" s="40">
        <f t="shared" si="47"/>
        <v>42666.666666666664</v>
      </c>
      <c r="BG37" s="40">
        <f t="shared" si="47"/>
        <v>42666.666666666664</v>
      </c>
      <c r="BH37" s="40">
        <f t="shared" si="47"/>
        <v>42666.666666666664</v>
      </c>
      <c r="BI37" s="40">
        <f t="shared" si="47"/>
        <v>42666.666666666664</v>
      </c>
      <c r="BJ37" s="40">
        <f t="shared" si="47"/>
        <v>42666.666666666664</v>
      </c>
      <c r="BK37" s="40">
        <f t="shared" si="47"/>
        <v>42666.666666666664</v>
      </c>
      <c r="BL37" s="40">
        <f t="shared" si="47"/>
        <v>42666.666666666664</v>
      </c>
      <c r="BM37" s="40">
        <f t="shared" si="48"/>
        <v>42666.666666666664</v>
      </c>
      <c r="BN37" s="40">
        <f t="shared" si="48"/>
        <v>42666.666666666664</v>
      </c>
      <c r="BO37" s="40">
        <f t="shared" si="48"/>
        <v>42666.666666666664</v>
      </c>
      <c r="BP37" s="40">
        <f t="shared" si="48"/>
        <v>42666.666666666664</v>
      </c>
      <c r="BQ37" s="40">
        <f t="shared" si="48"/>
        <v>42666.666666666664</v>
      </c>
      <c r="BR37" s="40">
        <f t="shared" si="48"/>
        <v>42666.666666666664</v>
      </c>
      <c r="BS37" s="40">
        <f t="shared" si="48"/>
        <v>42666.666666666664</v>
      </c>
      <c r="BT37" s="40">
        <f t="shared" si="48"/>
        <v>42666.666666666664</v>
      </c>
      <c r="BU37" s="40">
        <f t="shared" si="48"/>
        <v>42666.666666666664</v>
      </c>
      <c r="BV37" s="40">
        <f t="shared" si="48"/>
        <v>42666.666666666664</v>
      </c>
      <c r="BW37" s="40">
        <f t="shared" si="49"/>
        <v>42666.666666666664</v>
      </c>
      <c r="BX37" s="40">
        <f t="shared" si="49"/>
        <v>42666.666666666664</v>
      </c>
      <c r="BY37" s="40">
        <f t="shared" si="49"/>
        <v>42666.666666666664</v>
      </c>
      <c r="BZ37" s="40">
        <f t="shared" si="49"/>
        <v>42666.666666666664</v>
      </c>
      <c r="CA37" s="40">
        <f t="shared" si="49"/>
        <v>42666.666666666664</v>
      </c>
      <c r="CB37" s="40">
        <f t="shared" si="49"/>
        <v>42666.666666666664</v>
      </c>
      <c r="CC37" s="40">
        <f t="shared" si="49"/>
        <v>42666.666666666664</v>
      </c>
      <c r="CD37" s="40">
        <f t="shared" si="49"/>
        <v>42666.666666666664</v>
      </c>
      <c r="CE37" s="40">
        <f t="shared" si="49"/>
        <v>42666.666666666664</v>
      </c>
      <c r="CF37" s="40">
        <f t="shared" si="49"/>
        <v>42666.666666666664</v>
      </c>
      <c r="CG37" s="40">
        <f t="shared" si="50"/>
        <v>42666.666666666664</v>
      </c>
      <c r="CH37" s="40">
        <f t="shared" si="50"/>
        <v>42666.666666666664</v>
      </c>
      <c r="CI37" s="40">
        <f t="shared" si="50"/>
        <v>42666.666666666664</v>
      </c>
      <c r="CJ37" s="40">
        <f t="shared" si="50"/>
        <v>42666.666666666664</v>
      </c>
      <c r="CK37" s="40">
        <f t="shared" si="50"/>
        <v>42666.666666666664</v>
      </c>
      <c r="CL37" s="40">
        <f t="shared" si="50"/>
        <v>42666.666666666664</v>
      </c>
      <c r="CM37" s="40">
        <f t="shared" si="50"/>
        <v>42666.666666666664</v>
      </c>
      <c r="CN37" s="40">
        <f t="shared" si="50"/>
        <v>42666.666666666664</v>
      </c>
      <c r="CO37" s="40">
        <f t="shared" si="50"/>
        <v>42666.666666666664</v>
      </c>
      <c r="CP37" s="40">
        <f t="shared" si="50"/>
        <v>42666.666666666664</v>
      </c>
      <c r="CQ37" s="40">
        <f t="shared" si="51"/>
        <v>42666.666666666664</v>
      </c>
      <c r="CR37" s="40">
        <f t="shared" si="51"/>
        <v>42666.666666666664</v>
      </c>
      <c r="CS37" s="40">
        <f t="shared" si="51"/>
        <v>42666.666666666664</v>
      </c>
      <c r="CT37" s="40">
        <f t="shared" si="51"/>
        <v>42666.666666666664</v>
      </c>
      <c r="CU37" s="40">
        <f t="shared" si="51"/>
        <v>42666.666666666664</v>
      </c>
      <c r="CV37" s="40">
        <f t="shared" si="51"/>
        <v>42666.666666666664</v>
      </c>
      <c r="CW37" s="40">
        <f t="shared" si="51"/>
        <v>42666.666666666664</v>
      </c>
      <c r="CX37" s="40">
        <f t="shared" si="51"/>
        <v>42666.666666666664</v>
      </c>
      <c r="CY37" s="40">
        <f t="shared" si="51"/>
        <v>42666.666666666664</v>
      </c>
      <c r="CZ37" s="40">
        <f t="shared" si="51"/>
        <v>42666.666666666664</v>
      </c>
      <c r="DA37" s="40">
        <f t="shared" si="52"/>
        <v>42666.666666666664</v>
      </c>
      <c r="DB37" s="40">
        <f t="shared" si="52"/>
        <v>42666.666666666664</v>
      </c>
      <c r="DC37" s="40">
        <f t="shared" si="52"/>
        <v>42666.666666666664</v>
      </c>
      <c r="DD37" s="40">
        <f t="shared" si="52"/>
        <v>42666.666666666664</v>
      </c>
      <c r="DE37" s="40">
        <f t="shared" si="52"/>
        <v>42666.666666666664</v>
      </c>
      <c r="DF37" s="40">
        <f t="shared" si="52"/>
        <v>42666.666666666664</v>
      </c>
      <c r="DG37" s="40">
        <f t="shared" si="52"/>
        <v>42666.666666666664</v>
      </c>
      <c r="DH37" s="40">
        <f t="shared" si="52"/>
        <v>42666.666666666664</v>
      </c>
      <c r="DI37" s="40">
        <f t="shared" si="52"/>
        <v>42666.666666666664</v>
      </c>
      <c r="DJ37" s="40">
        <f t="shared" si="52"/>
        <v>42666.666666666664</v>
      </c>
      <c r="DK37" s="40">
        <f t="shared" si="53"/>
        <v>42666.666666666664</v>
      </c>
      <c r="DL37" s="40">
        <f t="shared" si="53"/>
        <v>42666.666666666664</v>
      </c>
      <c r="DM37" s="40">
        <f t="shared" si="53"/>
        <v>42666.666666666664</v>
      </c>
      <c r="DN37" s="40">
        <f t="shared" si="53"/>
        <v>42666.666666666664</v>
      </c>
      <c r="DO37" s="40">
        <f t="shared" si="53"/>
        <v>42666.666666666664</v>
      </c>
      <c r="DP37" s="40">
        <f t="shared" si="53"/>
        <v>42666.666666666664</v>
      </c>
      <c r="DQ37" s="40">
        <f t="shared" si="53"/>
        <v>42666.666666666664</v>
      </c>
      <c r="DR37" s="40">
        <f t="shared" si="53"/>
        <v>42666.666666666664</v>
      </c>
      <c r="DS37" s="40">
        <f t="shared" si="53"/>
        <v>42666.666666666664</v>
      </c>
      <c r="DT37" s="40">
        <f t="shared" si="53"/>
        <v>42666.666666666664</v>
      </c>
      <c r="DU37" s="40">
        <f t="shared" si="54"/>
        <v>42666.666666666664</v>
      </c>
      <c r="DV37" s="40">
        <f t="shared" si="54"/>
        <v>42666.666666666664</v>
      </c>
      <c r="DW37" s="40">
        <f t="shared" si="54"/>
        <v>42666.666666666664</v>
      </c>
      <c r="DX37" s="40">
        <f t="shared" si="54"/>
        <v>42666.666666666664</v>
      </c>
      <c r="DY37" s="40">
        <f t="shared" si="54"/>
        <v>42666.666666666664</v>
      </c>
      <c r="DZ37" s="40">
        <f t="shared" si="54"/>
        <v>42666.666666666664</v>
      </c>
      <c r="EA37" s="40">
        <f t="shared" si="54"/>
        <v>42666.666666666664</v>
      </c>
      <c r="EB37" s="40">
        <f t="shared" si="54"/>
        <v>42666.666666666664</v>
      </c>
      <c r="EC37" s="40">
        <f t="shared" si="54"/>
        <v>42666.666666666664</v>
      </c>
      <c r="ED37" s="40">
        <f t="shared" si="54"/>
        <v>42666.666666666664</v>
      </c>
      <c r="EE37" s="40">
        <f t="shared" si="55"/>
        <v>42666.666666666664</v>
      </c>
      <c r="EF37" s="40">
        <f t="shared" si="55"/>
        <v>42666.666666666664</v>
      </c>
      <c r="EG37" s="40">
        <f t="shared" si="55"/>
        <v>42666.666666666664</v>
      </c>
      <c r="EH37" s="40">
        <f t="shared" si="55"/>
        <v>42666.666666666664</v>
      </c>
      <c r="EI37" s="40">
        <f t="shared" si="55"/>
        <v>42666.666666666664</v>
      </c>
      <c r="EJ37" s="40">
        <f t="shared" si="55"/>
        <v>42666.666666666664</v>
      </c>
      <c r="EK37" s="40">
        <f t="shared" si="55"/>
        <v>42666.666666666664</v>
      </c>
      <c r="EL37" s="40">
        <f t="shared" si="55"/>
        <v>42666.666666666664</v>
      </c>
      <c r="EM37" s="40">
        <f t="shared" si="55"/>
        <v>42666.666666666664</v>
      </c>
      <c r="EN37" s="40">
        <f t="shared" si="55"/>
        <v>42666.666666666664</v>
      </c>
    </row>
    <row r="38" spans="2:144" x14ac:dyDescent="0.35">
      <c r="B38" s="37" t="s">
        <v>322</v>
      </c>
      <c r="C38" s="19" t="s">
        <v>323</v>
      </c>
      <c r="D38" s="20">
        <v>73000</v>
      </c>
      <c r="E38" s="18">
        <f t="shared" si="8"/>
        <v>6.0191292875989448E-2</v>
      </c>
      <c r="F38" s="38">
        <v>44927</v>
      </c>
      <c r="G38" s="38">
        <v>44927</v>
      </c>
      <c r="H38" s="32">
        <v>0</v>
      </c>
      <c r="I38" s="28">
        <f t="shared" si="9"/>
        <v>0</v>
      </c>
      <c r="J38" s="26">
        <v>0</v>
      </c>
      <c r="K38" s="37" t="s">
        <v>266</v>
      </c>
      <c r="L38" s="32">
        <v>9</v>
      </c>
      <c r="M38" s="37" t="s">
        <v>278</v>
      </c>
      <c r="N38" s="39">
        <f t="shared" si="10"/>
        <v>-11</v>
      </c>
      <c r="O38" s="39">
        <f t="shared" si="11"/>
        <v>-11</v>
      </c>
      <c r="P38" s="39">
        <f t="shared" si="12"/>
        <v>1</v>
      </c>
      <c r="Q38" s="39">
        <f t="shared" si="13"/>
        <v>3</v>
      </c>
      <c r="R38" s="39">
        <f t="shared" si="14"/>
        <v>4</v>
      </c>
      <c r="S38" s="39">
        <f t="shared" si="15"/>
        <v>1</v>
      </c>
      <c r="T38" s="39">
        <f t="shared" si="16"/>
        <v>5</v>
      </c>
      <c r="U38" s="39">
        <f t="shared" si="17"/>
        <v>1</v>
      </c>
      <c r="V38" s="39">
        <f t="shared" si="18"/>
        <v>173375</v>
      </c>
      <c r="W38" s="39">
        <f>IF(D38="",0,Retention_Ratio*LC_Ren*LeaseTermYrs*'Rent Roll'!D38*'Rent Roll'!X38+(1-Retention_Ratio)*LC_Ren*LeaseTermYrs*'Rent Roll'!D38*'Rent Roll'!X38)</f>
        <v>98550</v>
      </c>
      <c r="X38" s="25">
        <f t="shared" si="19"/>
        <v>9</v>
      </c>
      <c r="Y38" s="40">
        <f t="shared" si="44"/>
        <v>0</v>
      </c>
      <c r="Z38" s="40">
        <f t="shared" si="44"/>
        <v>0</v>
      </c>
      <c r="AA38" s="40">
        <f t="shared" si="44"/>
        <v>0</v>
      </c>
      <c r="AB38" s="40">
        <f t="shared" si="44"/>
        <v>0</v>
      </c>
      <c r="AC38" s="40">
        <f t="shared" si="44"/>
        <v>54750</v>
      </c>
      <c r="AD38" s="40">
        <f t="shared" si="44"/>
        <v>54750</v>
      </c>
      <c r="AE38" s="40">
        <f t="shared" si="44"/>
        <v>54750</v>
      </c>
      <c r="AF38" s="40">
        <f t="shared" si="44"/>
        <v>54750</v>
      </c>
      <c r="AG38" s="40">
        <f t="shared" si="44"/>
        <v>54750</v>
      </c>
      <c r="AH38" s="40">
        <f t="shared" si="44"/>
        <v>54750</v>
      </c>
      <c r="AI38" s="40">
        <f t="shared" si="45"/>
        <v>54750</v>
      </c>
      <c r="AJ38" s="40">
        <f t="shared" si="45"/>
        <v>54750</v>
      </c>
      <c r="AK38" s="40">
        <f t="shared" si="45"/>
        <v>54750</v>
      </c>
      <c r="AL38" s="40">
        <f t="shared" si="45"/>
        <v>54750</v>
      </c>
      <c r="AM38" s="40">
        <f t="shared" si="45"/>
        <v>54750</v>
      </c>
      <c r="AN38" s="40">
        <f t="shared" si="45"/>
        <v>54750</v>
      </c>
      <c r="AO38" s="40">
        <f t="shared" si="45"/>
        <v>54750</v>
      </c>
      <c r="AP38" s="40">
        <f t="shared" si="45"/>
        <v>54750</v>
      </c>
      <c r="AQ38" s="40">
        <f t="shared" si="45"/>
        <v>54750</v>
      </c>
      <c r="AR38" s="40">
        <f t="shared" si="45"/>
        <v>54750</v>
      </c>
      <c r="AS38" s="40">
        <f t="shared" si="46"/>
        <v>54750</v>
      </c>
      <c r="AT38" s="40">
        <f t="shared" si="46"/>
        <v>54750</v>
      </c>
      <c r="AU38" s="40">
        <f t="shared" si="46"/>
        <v>54750</v>
      </c>
      <c r="AV38" s="40">
        <f t="shared" si="46"/>
        <v>54750</v>
      </c>
      <c r="AW38" s="40">
        <f t="shared" si="46"/>
        <v>54750</v>
      </c>
      <c r="AX38" s="40">
        <f t="shared" si="46"/>
        <v>54750</v>
      </c>
      <c r="AY38" s="40">
        <f t="shared" si="46"/>
        <v>54750</v>
      </c>
      <c r="AZ38" s="40">
        <f t="shared" si="46"/>
        <v>54750</v>
      </c>
      <c r="BA38" s="40">
        <f t="shared" si="46"/>
        <v>54750</v>
      </c>
      <c r="BB38" s="40">
        <f t="shared" si="46"/>
        <v>54750</v>
      </c>
      <c r="BC38" s="40">
        <f t="shared" si="47"/>
        <v>54750</v>
      </c>
      <c r="BD38" s="40">
        <f t="shared" si="47"/>
        <v>54750</v>
      </c>
      <c r="BE38" s="40">
        <f t="shared" si="47"/>
        <v>54750</v>
      </c>
      <c r="BF38" s="40">
        <f t="shared" si="47"/>
        <v>54750</v>
      </c>
      <c r="BG38" s="40">
        <f t="shared" si="47"/>
        <v>54750</v>
      </c>
      <c r="BH38" s="40">
        <f t="shared" si="47"/>
        <v>54750</v>
      </c>
      <c r="BI38" s="40">
        <f t="shared" si="47"/>
        <v>54750</v>
      </c>
      <c r="BJ38" s="40">
        <f t="shared" si="47"/>
        <v>54750</v>
      </c>
      <c r="BK38" s="40">
        <f t="shared" si="47"/>
        <v>54750</v>
      </c>
      <c r="BL38" s="40">
        <f t="shared" si="47"/>
        <v>54750</v>
      </c>
      <c r="BM38" s="40">
        <f t="shared" si="48"/>
        <v>54750</v>
      </c>
      <c r="BN38" s="40">
        <f t="shared" si="48"/>
        <v>54750</v>
      </c>
      <c r="BO38" s="40">
        <f t="shared" si="48"/>
        <v>54750</v>
      </c>
      <c r="BP38" s="40">
        <f t="shared" si="48"/>
        <v>54750</v>
      </c>
      <c r="BQ38" s="40">
        <f t="shared" si="48"/>
        <v>54750</v>
      </c>
      <c r="BR38" s="40">
        <f t="shared" si="48"/>
        <v>54750</v>
      </c>
      <c r="BS38" s="40">
        <f t="shared" si="48"/>
        <v>54750</v>
      </c>
      <c r="BT38" s="40">
        <f t="shared" si="48"/>
        <v>54750</v>
      </c>
      <c r="BU38" s="40">
        <f t="shared" si="48"/>
        <v>54750</v>
      </c>
      <c r="BV38" s="40">
        <f t="shared" si="48"/>
        <v>54750</v>
      </c>
      <c r="BW38" s="40">
        <f t="shared" si="49"/>
        <v>54750</v>
      </c>
      <c r="BX38" s="40">
        <f t="shared" si="49"/>
        <v>54750</v>
      </c>
      <c r="BY38" s="40">
        <f t="shared" si="49"/>
        <v>54750</v>
      </c>
      <c r="BZ38" s="40">
        <f t="shared" si="49"/>
        <v>54750</v>
      </c>
      <c r="CA38" s="40">
        <f t="shared" si="49"/>
        <v>54750</v>
      </c>
      <c r="CB38" s="40">
        <f t="shared" si="49"/>
        <v>54750</v>
      </c>
      <c r="CC38" s="40">
        <f t="shared" si="49"/>
        <v>54750</v>
      </c>
      <c r="CD38" s="40">
        <f t="shared" si="49"/>
        <v>54750</v>
      </c>
      <c r="CE38" s="40">
        <f t="shared" si="49"/>
        <v>54750</v>
      </c>
      <c r="CF38" s="40">
        <f t="shared" si="49"/>
        <v>54750</v>
      </c>
      <c r="CG38" s="40">
        <f t="shared" si="50"/>
        <v>54750</v>
      </c>
      <c r="CH38" s="40">
        <f t="shared" si="50"/>
        <v>54750</v>
      </c>
      <c r="CI38" s="40">
        <f t="shared" si="50"/>
        <v>54750</v>
      </c>
      <c r="CJ38" s="40">
        <f t="shared" si="50"/>
        <v>54750</v>
      </c>
      <c r="CK38" s="40">
        <f t="shared" si="50"/>
        <v>54750</v>
      </c>
      <c r="CL38" s="40">
        <f t="shared" si="50"/>
        <v>54750</v>
      </c>
      <c r="CM38" s="40">
        <f t="shared" si="50"/>
        <v>54750</v>
      </c>
      <c r="CN38" s="40">
        <f t="shared" si="50"/>
        <v>54750</v>
      </c>
      <c r="CO38" s="40">
        <f t="shared" si="50"/>
        <v>54750</v>
      </c>
      <c r="CP38" s="40">
        <f t="shared" si="50"/>
        <v>54750</v>
      </c>
      <c r="CQ38" s="40">
        <f t="shared" si="51"/>
        <v>54750</v>
      </c>
      <c r="CR38" s="40">
        <f t="shared" si="51"/>
        <v>54750</v>
      </c>
      <c r="CS38" s="40">
        <f t="shared" si="51"/>
        <v>54750</v>
      </c>
      <c r="CT38" s="40">
        <f t="shared" si="51"/>
        <v>54750</v>
      </c>
      <c r="CU38" s="40">
        <f t="shared" si="51"/>
        <v>54750</v>
      </c>
      <c r="CV38" s="40">
        <f t="shared" si="51"/>
        <v>54750</v>
      </c>
      <c r="CW38" s="40">
        <f t="shared" si="51"/>
        <v>54750</v>
      </c>
      <c r="CX38" s="40">
        <f t="shared" si="51"/>
        <v>54750</v>
      </c>
      <c r="CY38" s="40">
        <f t="shared" si="51"/>
        <v>54750</v>
      </c>
      <c r="CZ38" s="40">
        <f t="shared" si="51"/>
        <v>54750</v>
      </c>
      <c r="DA38" s="40">
        <f t="shared" si="52"/>
        <v>54750</v>
      </c>
      <c r="DB38" s="40">
        <f t="shared" si="52"/>
        <v>54750</v>
      </c>
      <c r="DC38" s="40">
        <f t="shared" si="52"/>
        <v>54750</v>
      </c>
      <c r="DD38" s="40">
        <f t="shared" si="52"/>
        <v>54750</v>
      </c>
      <c r="DE38" s="40">
        <f t="shared" si="52"/>
        <v>54750</v>
      </c>
      <c r="DF38" s="40">
        <f t="shared" si="52"/>
        <v>54750</v>
      </c>
      <c r="DG38" s="40">
        <f t="shared" si="52"/>
        <v>54750</v>
      </c>
      <c r="DH38" s="40">
        <f t="shared" si="52"/>
        <v>54750</v>
      </c>
      <c r="DI38" s="40">
        <f t="shared" si="52"/>
        <v>54750</v>
      </c>
      <c r="DJ38" s="40">
        <f t="shared" si="52"/>
        <v>54750</v>
      </c>
      <c r="DK38" s="40">
        <f t="shared" si="53"/>
        <v>54750</v>
      </c>
      <c r="DL38" s="40">
        <f t="shared" si="53"/>
        <v>54750</v>
      </c>
      <c r="DM38" s="40">
        <f t="shared" si="53"/>
        <v>54750</v>
      </c>
      <c r="DN38" s="40">
        <f t="shared" si="53"/>
        <v>54750</v>
      </c>
      <c r="DO38" s="40">
        <f t="shared" si="53"/>
        <v>54750</v>
      </c>
      <c r="DP38" s="40">
        <f t="shared" si="53"/>
        <v>54750</v>
      </c>
      <c r="DQ38" s="40">
        <f t="shared" si="53"/>
        <v>54750</v>
      </c>
      <c r="DR38" s="40">
        <f t="shared" si="53"/>
        <v>54750</v>
      </c>
      <c r="DS38" s="40">
        <f t="shared" si="53"/>
        <v>54750</v>
      </c>
      <c r="DT38" s="40">
        <f t="shared" si="53"/>
        <v>54750</v>
      </c>
      <c r="DU38" s="40">
        <f t="shared" si="54"/>
        <v>54750</v>
      </c>
      <c r="DV38" s="40">
        <f t="shared" si="54"/>
        <v>54750</v>
      </c>
      <c r="DW38" s="40">
        <f t="shared" si="54"/>
        <v>54750</v>
      </c>
      <c r="DX38" s="40">
        <f t="shared" si="54"/>
        <v>54750</v>
      </c>
      <c r="DY38" s="40">
        <f t="shared" si="54"/>
        <v>54750</v>
      </c>
      <c r="DZ38" s="40">
        <f t="shared" si="54"/>
        <v>54750</v>
      </c>
      <c r="EA38" s="40">
        <f t="shared" si="54"/>
        <v>54750</v>
      </c>
      <c r="EB38" s="40">
        <f t="shared" si="54"/>
        <v>54750</v>
      </c>
      <c r="EC38" s="40">
        <f t="shared" si="54"/>
        <v>54750</v>
      </c>
      <c r="ED38" s="40">
        <f t="shared" si="54"/>
        <v>54750</v>
      </c>
      <c r="EE38" s="40">
        <f t="shared" si="55"/>
        <v>54750</v>
      </c>
      <c r="EF38" s="40">
        <f t="shared" si="55"/>
        <v>54750</v>
      </c>
      <c r="EG38" s="40">
        <f t="shared" si="55"/>
        <v>54750</v>
      </c>
      <c r="EH38" s="40">
        <f t="shared" si="55"/>
        <v>54750</v>
      </c>
      <c r="EI38" s="40">
        <f t="shared" si="55"/>
        <v>54750</v>
      </c>
      <c r="EJ38" s="40">
        <f t="shared" si="55"/>
        <v>54750</v>
      </c>
      <c r="EK38" s="40">
        <f t="shared" si="55"/>
        <v>54750</v>
      </c>
      <c r="EL38" s="40">
        <f t="shared" si="55"/>
        <v>54750</v>
      </c>
      <c r="EM38" s="40">
        <f t="shared" si="55"/>
        <v>54750</v>
      </c>
      <c r="EN38" s="40">
        <f t="shared" si="55"/>
        <v>54750</v>
      </c>
    </row>
    <row r="39" spans="2:144" x14ac:dyDescent="0.35">
      <c r="B39" s="37" t="s">
        <v>324</v>
      </c>
      <c r="C39" s="19" t="s">
        <v>325</v>
      </c>
      <c r="D39" s="20">
        <v>30000</v>
      </c>
      <c r="E39" s="18">
        <f t="shared" si="8"/>
        <v>2.4736147757255935E-2</v>
      </c>
      <c r="F39" s="38">
        <v>44105</v>
      </c>
      <c r="G39" s="38">
        <v>45901</v>
      </c>
      <c r="H39" s="32">
        <v>7.43</v>
      </c>
      <c r="I39" s="28">
        <f t="shared" si="9"/>
        <v>222900</v>
      </c>
      <c r="J39" s="26">
        <v>0.03</v>
      </c>
      <c r="K39" s="37" t="s">
        <v>266</v>
      </c>
      <c r="L39" s="32">
        <v>11</v>
      </c>
      <c r="M39" s="37" t="s">
        <v>267</v>
      </c>
      <c r="N39" s="39">
        <f t="shared" si="10"/>
        <v>-38</v>
      </c>
      <c r="O39" s="39">
        <f t="shared" si="11"/>
        <v>21</v>
      </c>
      <c r="P39" s="39">
        <f t="shared" si="12"/>
        <v>22</v>
      </c>
      <c r="Q39" s="39">
        <f t="shared" si="13"/>
        <v>3</v>
      </c>
      <c r="R39" s="39">
        <f t="shared" si="14"/>
        <v>25</v>
      </c>
      <c r="S39" s="39">
        <f t="shared" si="15"/>
        <v>1</v>
      </c>
      <c r="T39" s="39">
        <f t="shared" si="16"/>
        <v>26</v>
      </c>
      <c r="U39" s="39">
        <f t="shared" si="17"/>
        <v>3</v>
      </c>
      <c r="V39" s="39">
        <f t="shared" si="18"/>
        <v>71250</v>
      </c>
      <c r="W39" s="39">
        <f>IF(D39="",0,Retention_Ratio*LC_Ren*LeaseTermYrs*'Rent Roll'!D39*'Rent Roll'!X39+(1-Retention_Ratio)*LC_Ren*LeaseTermYrs*'Rent Roll'!D39*'Rent Roll'!X39)</f>
        <v>54831.149999999994</v>
      </c>
      <c r="X39" s="25">
        <f t="shared" si="19"/>
        <v>12.184699999999999</v>
      </c>
      <c r="Y39" s="40">
        <f t="shared" si="44"/>
        <v>18575</v>
      </c>
      <c r="Z39" s="40">
        <f t="shared" si="44"/>
        <v>18575</v>
      </c>
      <c r="AA39" s="40">
        <f t="shared" si="44"/>
        <v>18575</v>
      </c>
      <c r="AB39" s="40">
        <f t="shared" si="44"/>
        <v>18575</v>
      </c>
      <c r="AC39" s="40">
        <f t="shared" si="44"/>
        <v>18575</v>
      </c>
      <c r="AD39" s="40">
        <f t="shared" si="44"/>
        <v>18575</v>
      </c>
      <c r="AE39" s="40">
        <f t="shared" si="44"/>
        <v>18575</v>
      </c>
      <c r="AF39" s="40">
        <f t="shared" si="44"/>
        <v>18575</v>
      </c>
      <c r="AG39" s="40">
        <f t="shared" si="44"/>
        <v>18575</v>
      </c>
      <c r="AH39" s="40">
        <f t="shared" si="44"/>
        <v>18575</v>
      </c>
      <c r="AI39" s="40">
        <f t="shared" si="45"/>
        <v>18575</v>
      </c>
      <c r="AJ39" s="40">
        <f t="shared" si="45"/>
        <v>18575</v>
      </c>
      <c r="AK39" s="40">
        <f t="shared" si="45"/>
        <v>19132.25</v>
      </c>
      <c r="AL39" s="40">
        <f t="shared" si="45"/>
        <v>19132.25</v>
      </c>
      <c r="AM39" s="40">
        <f t="shared" si="45"/>
        <v>19132.25</v>
      </c>
      <c r="AN39" s="40">
        <f t="shared" si="45"/>
        <v>19132.25</v>
      </c>
      <c r="AO39" s="40">
        <f t="shared" si="45"/>
        <v>19132.25</v>
      </c>
      <c r="AP39" s="40">
        <f t="shared" si="45"/>
        <v>19132.25</v>
      </c>
      <c r="AQ39" s="40">
        <f t="shared" si="45"/>
        <v>19132.25</v>
      </c>
      <c r="AR39" s="40">
        <f t="shared" si="45"/>
        <v>19132.25</v>
      </c>
      <c r="AS39" s="40">
        <f t="shared" si="46"/>
        <v>19132.25</v>
      </c>
      <c r="AT39" s="40">
        <f t="shared" si="46"/>
        <v>0</v>
      </c>
      <c r="AU39" s="40">
        <f t="shared" si="46"/>
        <v>0</v>
      </c>
      <c r="AV39" s="40">
        <f t="shared" si="46"/>
        <v>0</v>
      </c>
      <c r="AW39" s="40">
        <f t="shared" si="46"/>
        <v>0</v>
      </c>
      <c r="AX39" s="40">
        <f t="shared" si="46"/>
        <v>30461.75</v>
      </c>
      <c r="AY39" s="40">
        <f t="shared" si="46"/>
        <v>30461.75</v>
      </c>
      <c r="AZ39" s="40">
        <f t="shared" si="46"/>
        <v>30461.75</v>
      </c>
      <c r="BA39" s="40">
        <f t="shared" si="46"/>
        <v>30461.75</v>
      </c>
      <c r="BB39" s="40">
        <f t="shared" si="46"/>
        <v>30461.75</v>
      </c>
      <c r="BC39" s="40">
        <f t="shared" si="47"/>
        <v>30461.75</v>
      </c>
      <c r="BD39" s="40">
        <f t="shared" si="47"/>
        <v>30461.75</v>
      </c>
      <c r="BE39" s="40">
        <f t="shared" si="47"/>
        <v>30461.75</v>
      </c>
      <c r="BF39" s="40">
        <f t="shared" si="47"/>
        <v>30461.75</v>
      </c>
      <c r="BG39" s="40">
        <f t="shared" si="47"/>
        <v>30461.75</v>
      </c>
      <c r="BH39" s="40">
        <f t="shared" si="47"/>
        <v>30461.75</v>
      </c>
      <c r="BI39" s="40">
        <f t="shared" si="47"/>
        <v>31375.602499999997</v>
      </c>
      <c r="BJ39" s="40">
        <f t="shared" si="47"/>
        <v>31375.602499999997</v>
      </c>
      <c r="BK39" s="40">
        <f t="shared" si="47"/>
        <v>31375.602499999997</v>
      </c>
      <c r="BL39" s="40">
        <f t="shared" si="47"/>
        <v>31375.602499999997</v>
      </c>
      <c r="BM39" s="40">
        <f t="shared" si="48"/>
        <v>31375.602499999997</v>
      </c>
      <c r="BN39" s="40">
        <f t="shared" si="48"/>
        <v>31375.602499999997</v>
      </c>
      <c r="BO39" s="40">
        <f t="shared" si="48"/>
        <v>31375.602499999997</v>
      </c>
      <c r="BP39" s="40">
        <f t="shared" si="48"/>
        <v>31375.602499999997</v>
      </c>
      <c r="BQ39" s="40">
        <f t="shared" si="48"/>
        <v>31375.602499999997</v>
      </c>
      <c r="BR39" s="40">
        <f t="shared" si="48"/>
        <v>31375.602499999997</v>
      </c>
      <c r="BS39" s="40">
        <f t="shared" si="48"/>
        <v>31375.602499999997</v>
      </c>
      <c r="BT39" s="40">
        <f t="shared" si="48"/>
        <v>31375.602499999997</v>
      </c>
      <c r="BU39" s="40">
        <f t="shared" si="48"/>
        <v>32316.870574999997</v>
      </c>
      <c r="BV39" s="40">
        <f t="shared" si="48"/>
        <v>32316.870574999997</v>
      </c>
      <c r="BW39" s="40">
        <f t="shared" si="49"/>
        <v>32316.870574999997</v>
      </c>
      <c r="BX39" s="40">
        <f t="shared" si="49"/>
        <v>32316.870574999997</v>
      </c>
      <c r="BY39" s="40">
        <f t="shared" si="49"/>
        <v>32316.870574999997</v>
      </c>
      <c r="BZ39" s="40">
        <f t="shared" si="49"/>
        <v>32316.870574999997</v>
      </c>
      <c r="CA39" s="40">
        <f t="shared" si="49"/>
        <v>32316.870574999997</v>
      </c>
      <c r="CB39" s="40">
        <f t="shared" si="49"/>
        <v>32316.870574999997</v>
      </c>
      <c r="CC39" s="40">
        <f t="shared" si="49"/>
        <v>32316.870574999997</v>
      </c>
      <c r="CD39" s="40">
        <f t="shared" si="49"/>
        <v>32316.870574999997</v>
      </c>
      <c r="CE39" s="40">
        <f t="shared" si="49"/>
        <v>32316.870574999997</v>
      </c>
      <c r="CF39" s="40">
        <f t="shared" si="49"/>
        <v>32316.870574999997</v>
      </c>
      <c r="CG39" s="40">
        <f t="shared" si="50"/>
        <v>33286.37669225</v>
      </c>
      <c r="CH39" s="40">
        <f t="shared" si="50"/>
        <v>33286.37669225</v>
      </c>
      <c r="CI39" s="40">
        <f t="shared" si="50"/>
        <v>33286.37669225</v>
      </c>
      <c r="CJ39" s="40">
        <f t="shared" si="50"/>
        <v>33286.37669225</v>
      </c>
      <c r="CK39" s="40">
        <f t="shared" si="50"/>
        <v>33286.37669225</v>
      </c>
      <c r="CL39" s="40">
        <f t="shared" si="50"/>
        <v>33286.37669225</v>
      </c>
      <c r="CM39" s="40">
        <f t="shared" si="50"/>
        <v>33286.37669225</v>
      </c>
      <c r="CN39" s="40">
        <f t="shared" si="50"/>
        <v>33286.37669225</v>
      </c>
      <c r="CO39" s="40">
        <f t="shared" si="50"/>
        <v>33286.37669225</v>
      </c>
      <c r="CP39" s="40">
        <f t="shared" si="50"/>
        <v>33286.37669225</v>
      </c>
      <c r="CQ39" s="40">
        <f t="shared" si="51"/>
        <v>33286.37669225</v>
      </c>
      <c r="CR39" s="40">
        <f t="shared" si="51"/>
        <v>33286.37669225</v>
      </c>
      <c r="CS39" s="40">
        <f t="shared" si="51"/>
        <v>34284.967993017497</v>
      </c>
      <c r="CT39" s="40">
        <f t="shared" si="51"/>
        <v>34284.967993017497</v>
      </c>
      <c r="CU39" s="40">
        <f t="shared" si="51"/>
        <v>34284.967993017497</v>
      </c>
      <c r="CV39" s="40">
        <f t="shared" si="51"/>
        <v>34284.967993017497</v>
      </c>
      <c r="CW39" s="40">
        <f t="shared" si="51"/>
        <v>34284.967993017497</v>
      </c>
      <c r="CX39" s="40">
        <f t="shared" si="51"/>
        <v>34284.967993017497</v>
      </c>
      <c r="CY39" s="40">
        <f t="shared" si="51"/>
        <v>34284.967993017497</v>
      </c>
      <c r="CZ39" s="40">
        <f t="shared" si="51"/>
        <v>34284.967993017497</v>
      </c>
      <c r="DA39" s="40">
        <f t="shared" si="52"/>
        <v>34284.967993017497</v>
      </c>
      <c r="DB39" s="40">
        <f t="shared" si="52"/>
        <v>34284.967993017497</v>
      </c>
      <c r="DC39" s="40">
        <f t="shared" si="52"/>
        <v>34284.967993017497</v>
      </c>
      <c r="DD39" s="40">
        <f t="shared" si="52"/>
        <v>34284.967993017497</v>
      </c>
      <c r="DE39" s="40">
        <f t="shared" si="52"/>
        <v>35313.51703280802</v>
      </c>
      <c r="DF39" s="40">
        <f t="shared" si="52"/>
        <v>35313.51703280802</v>
      </c>
      <c r="DG39" s="40">
        <f t="shared" si="52"/>
        <v>35313.51703280802</v>
      </c>
      <c r="DH39" s="40">
        <f t="shared" si="52"/>
        <v>35313.51703280802</v>
      </c>
      <c r="DI39" s="40">
        <f t="shared" si="52"/>
        <v>35313.51703280802</v>
      </c>
      <c r="DJ39" s="40">
        <f t="shared" si="52"/>
        <v>35313.51703280802</v>
      </c>
      <c r="DK39" s="40">
        <f t="shared" si="53"/>
        <v>35313.51703280802</v>
      </c>
      <c r="DL39" s="40">
        <f t="shared" si="53"/>
        <v>35313.51703280802</v>
      </c>
      <c r="DM39" s="40">
        <f t="shared" si="53"/>
        <v>35313.51703280802</v>
      </c>
      <c r="DN39" s="40">
        <f t="shared" si="53"/>
        <v>35313.51703280802</v>
      </c>
      <c r="DO39" s="40">
        <f t="shared" si="53"/>
        <v>35313.51703280802</v>
      </c>
      <c r="DP39" s="40">
        <f t="shared" si="53"/>
        <v>35313.51703280802</v>
      </c>
      <c r="DQ39" s="40">
        <f t="shared" si="53"/>
        <v>36372.922543792265</v>
      </c>
      <c r="DR39" s="40">
        <f t="shared" si="53"/>
        <v>36372.922543792265</v>
      </c>
      <c r="DS39" s="40">
        <f t="shared" si="53"/>
        <v>36372.922543792265</v>
      </c>
      <c r="DT39" s="40">
        <f t="shared" si="53"/>
        <v>36372.922543792265</v>
      </c>
      <c r="DU39" s="40">
        <f t="shared" si="54"/>
        <v>36372.922543792265</v>
      </c>
      <c r="DV39" s="40">
        <f t="shared" si="54"/>
        <v>36372.922543792265</v>
      </c>
      <c r="DW39" s="40">
        <f t="shared" si="54"/>
        <v>36372.922543792265</v>
      </c>
      <c r="DX39" s="40">
        <f t="shared" si="54"/>
        <v>36372.922543792265</v>
      </c>
      <c r="DY39" s="40">
        <f t="shared" si="54"/>
        <v>36372.922543792265</v>
      </c>
      <c r="DZ39" s="40">
        <f t="shared" si="54"/>
        <v>36372.922543792265</v>
      </c>
      <c r="EA39" s="40">
        <f t="shared" si="54"/>
        <v>36372.922543792265</v>
      </c>
      <c r="EB39" s="40">
        <f t="shared" si="54"/>
        <v>36372.922543792265</v>
      </c>
      <c r="EC39" s="40">
        <f t="shared" si="54"/>
        <v>37464.110220106035</v>
      </c>
      <c r="ED39" s="40">
        <f t="shared" si="54"/>
        <v>37464.110220106035</v>
      </c>
      <c r="EE39" s="40">
        <f t="shared" si="55"/>
        <v>37464.110220106035</v>
      </c>
      <c r="EF39" s="40">
        <f t="shared" si="55"/>
        <v>37464.110220106035</v>
      </c>
      <c r="EG39" s="40">
        <f t="shared" si="55"/>
        <v>37464.110220106035</v>
      </c>
      <c r="EH39" s="40">
        <f t="shared" si="55"/>
        <v>37464.110220106035</v>
      </c>
      <c r="EI39" s="40">
        <f t="shared" si="55"/>
        <v>37464.110220106035</v>
      </c>
      <c r="EJ39" s="40">
        <f t="shared" si="55"/>
        <v>37464.110220106035</v>
      </c>
      <c r="EK39" s="40">
        <f t="shared" si="55"/>
        <v>37464.110220106035</v>
      </c>
      <c r="EL39" s="40">
        <f t="shared" si="55"/>
        <v>37464.110220106035</v>
      </c>
      <c r="EM39" s="40">
        <f t="shared" si="55"/>
        <v>37464.110220106035</v>
      </c>
      <c r="EN39" s="40">
        <f t="shared" si="55"/>
        <v>37464.110220106035</v>
      </c>
    </row>
    <row r="40" spans="2:144" x14ac:dyDescent="0.35">
      <c r="B40" s="37" t="s">
        <v>326</v>
      </c>
      <c r="C40" s="19" t="s">
        <v>327</v>
      </c>
      <c r="D40" s="20">
        <v>35000</v>
      </c>
      <c r="E40" s="18">
        <f t="shared" si="8"/>
        <v>2.8858839050131927E-2</v>
      </c>
      <c r="F40" s="38">
        <v>42401</v>
      </c>
      <c r="G40" s="38">
        <v>45323</v>
      </c>
      <c r="H40" s="32">
        <v>6.52</v>
      </c>
      <c r="I40" s="28">
        <f t="shared" si="9"/>
        <v>228199.99999999997</v>
      </c>
      <c r="J40" s="26">
        <v>0</v>
      </c>
      <c r="K40" s="37" t="s">
        <v>266</v>
      </c>
      <c r="L40" s="32">
        <v>11</v>
      </c>
      <c r="M40" s="37" t="s">
        <v>278</v>
      </c>
      <c r="N40" s="39">
        <f t="shared" si="10"/>
        <v>-94</v>
      </c>
      <c r="O40" s="39">
        <f t="shared" si="11"/>
        <v>2</v>
      </c>
      <c r="P40" s="39">
        <f t="shared" si="12"/>
        <v>3</v>
      </c>
      <c r="Q40" s="39">
        <f t="shared" si="13"/>
        <v>3</v>
      </c>
      <c r="R40" s="39">
        <f t="shared" si="14"/>
        <v>6</v>
      </c>
      <c r="S40" s="39">
        <f t="shared" si="15"/>
        <v>1</v>
      </c>
      <c r="T40" s="39">
        <f t="shared" si="16"/>
        <v>7</v>
      </c>
      <c r="U40" s="39">
        <f t="shared" si="17"/>
        <v>1</v>
      </c>
      <c r="V40" s="39">
        <f t="shared" si="18"/>
        <v>83125</v>
      </c>
      <c r="W40" s="39">
        <f>IF(D40="",0,Retention_Ratio*LC_Ren*LeaseTermYrs*'Rent Roll'!D40*'Rent Roll'!X40+(1-Retention_Ratio)*LC_Ren*LeaseTermYrs*'Rent Roll'!D40*'Rent Roll'!X40)</f>
        <v>57749.999999999993</v>
      </c>
      <c r="X40" s="25">
        <f t="shared" si="19"/>
        <v>11</v>
      </c>
      <c r="Y40" s="40">
        <f t="shared" ref="Y40:AH49" si="56">IF($D40="",0,IF(Y$5&lt;$N40,0,IF(Y$5&lt;=$O40,$D40*$H40*(1+$J40)^FLOOR((Y$5-1)/12,1)/12,IF(Y$5&lt;$T40,0,$D40*$X40*(1+$J40)^FLOOR((Y$5-$R40)/12,1)/12))))</f>
        <v>19016.666666666664</v>
      </c>
      <c r="Z40" s="40">
        <f t="shared" si="56"/>
        <v>19016.666666666664</v>
      </c>
      <c r="AA40" s="40">
        <f t="shared" si="56"/>
        <v>0</v>
      </c>
      <c r="AB40" s="40">
        <f t="shared" si="56"/>
        <v>0</v>
      </c>
      <c r="AC40" s="40">
        <f t="shared" si="56"/>
        <v>0</v>
      </c>
      <c r="AD40" s="40">
        <f t="shared" si="56"/>
        <v>0</v>
      </c>
      <c r="AE40" s="40">
        <f t="shared" si="56"/>
        <v>32083.333333333332</v>
      </c>
      <c r="AF40" s="40">
        <f t="shared" si="56"/>
        <v>32083.333333333332</v>
      </c>
      <c r="AG40" s="40">
        <f t="shared" si="56"/>
        <v>32083.333333333332</v>
      </c>
      <c r="AH40" s="40">
        <f t="shared" si="56"/>
        <v>32083.333333333332</v>
      </c>
      <c r="AI40" s="40">
        <f t="shared" ref="AI40:AR49" si="57">IF($D40="",0,IF(AI$5&lt;$N40,0,IF(AI$5&lt;=$O40,$D40*$H40*(1+$J40)^FLOOR((AI$5-1)/12,1)/12,IF(AI$5&lt;$T40,0,$D40*$X40*(1+$J40)^FLOOR((AI$5-$R40)/12,1)/12))))</f>
        <v>32083.333333333332</v>
      </c>
      <c r="AJ40" s="40">
        <f t="shared" si="57"/>
        <v>32083.333333333332</v>
      </c>
      <c r="AK40" s="40">
        <f t="shared" si="57"/>
        <v>32083.333333333332</v>
      </c>
      <c r="AL40" s="40">
        <f t="shared" si="57"/>
        <v>32083.333333333332</v>
      </c>
      <c r="AM40" s="40">
        <f t="shared" si="57"/>
        <v>32083.333333333332</v>
      </c>
      <c r="AN40" s="40">
        <f t="shared" si="57"/>
        <v>32083.333333333332</v>
      </c>
      <c r="AO40" s="40">
        <f t="shared" si="57"/>
        <v>32083.333333333332</v>
      </c>
      <c r="AP40" s="40">
        <f t="shared" si="57"/>
        <v>32083.333333333332</v>
      </c>
      <c r="AQ40" s="40">
        <f t="shared" si="57"/>
        <v>32083.333333333332</v>
      </c>
      <c r="AR40" s="40">
        <f t="shared" si="57"/>
        <v>32083.333333333332</v>
      </c>
      <c r="AS40" s="40">
        <f t="shared" ref="AS40:BB49" si="58">IF($D40="",0,IF(AS$5&lt;$N40,0,IF(AS$5&lt;=$O40,$D40*$H40*(1+$J40)^FLOOR((AS$5-1)/12,1)/12,IF(AS$5&lt;$T40,0,$D40*$X40*(1+$J40)^FLOOR((AS$5-$R40)/12,1)/12))))</f>
        <v>32083.333333333332</v>
      </c>
      <c r="AT40" s="40">
        <f t="shared" si="58"/>
        <v>32083.333333333332</v>
      </c>
      <c r="AU40" s="40">
        <f t="shared" si="58"/>
        <v>32083.333333333332</v>
      </c>
      <c r="AV40" s="40">
        <f t="shared" si="58"/>
        <v>32083.333333333332</v>
      </c>
      <c r="AW40" s="40">
        <f t="shared" si="58"/>
        <v>32083.333333333332</v>
      </c>
      <c r="AX40" s="40">
        <f t="shared" si="58"/>
        <v>32083.333333333332</v>
      </c>
      <c r="AY40" s="40">
        <f t="shared" si="58"/>
        <v>32083.333333333332</v>
      </c>
      <c r="AZ40" s="40">
        <f t="shared" si="58"/>
        <v>32083.333333333332</v>
      </c>
      <c r="BA40" s="40">
        <f t="shared" si="58"/>
        <v>32083.333333333332</v>
      </c>
      <c r="BB40" s="40">
        <f t="shared" si="58"/>
        <v>32083.333333333332</v>
      </c>
      <c r="BC40" s="40">
        <f t="shared" ref="BC40:BL49" si="59">IF($D40="",0,IF(BC$5&lt;$N40,0,IF(BC$5&lt;=$O40,$D40*$H40*(1+$J40)^FLOOR((BC$5-1)/12,1)/12,IF(BC$5&lt;$T40,0,$D40*$X40*(1+$J40)^FLOOR((BC$5-$R40)/12,1)/12))))</f>
        <v>32083.333333333332</v>
      </c>
      <c r="BD40" s="40">
        <f t="shared" si="59"/>
        <v>32083.333333333332</v>
      </c>
      <c r="BE40" s="40">
        <f t="shared" si="59"/>
        <v>32083.333333333332</v>
      </c>
      <c r="BF40" s="40">
        <f t="shared" si="59"/>
        <v>32083.333333333332</v>
      </c>
      <c r="BG40" s="40">
        <f t="shared" si="59"/>
        <v>32083.333333333332</v>
      </c>
      <c r="BH40" s="40">
        <f t="shared" si="59"/>
        <v>32083.333333333332</v>
      </c>
      <c r="BI40" s="40">
        <f t="shared" si="59"/>
        <v>32083.333333333332</v>
      </c>
      <c r="BJ40" s="40">
        <f t="shared" si="59"/>
        <v>32083.333333333332</v>
      </c>
      <c r="BK40" s="40">
        <f t="shared" si="59"/>
        <v>32083.333333333332</v>
      </c>
      <c r="BL40" s="40">
        <f t="shared" si="59"/>
        <v>32083.333333333332</v>
      </c>
      <c r="BM40" s="40">
        <f t="shared" ref="BM40:BV49" si="60">IF($D40="",0,IF(BM$5&lt;$N40,0,IF(BM$5&lt;=$O40,$D40*$H40*(1+$J40)^FLOOR((BM$5-1)/12,1)/12,IF(BM$5&lt;$T40,0,$D40*$X40*(1+$J40)^FLOOR((BM$5-$R40)/12,1)/12))))</f>
        <v>32083.333333333332</v>
      </c>
      <c r="BN40" s="40">
        <f t="shared" si="60"/>
        <v>32083.333333333332</v>
      </c>
      <c r="BO40" s="40">
        <f t="shared" si="60"/>
        <v>32083.333333333332</v>
      </c>
      <c r="BP40" s="40">
        <f t="shared" si="60"/>
        <v>32083.333333333332</v>
      </c>
      <c r="BQ40" s="40">
        <f t="shared" si="60"/>
        <v>32083.333333333332</v>
      </c>
      <c r="BR40" s="40">
        <f t="shared" si="60"/>
        <v>32083.333333333332</v>
      </c>
      <c r="BS40" s="40">
        <f t="shared" si="60"/>
        <v>32083.333333333332</v>
      </c>
      <c r="BT40" s="40">
        <f t="shared" si="60"/>
        <v>32083.333333333332</v>
      </c>
      <c r="BU40" s="40">
        <f t="shared" si="60"/>
        <v>32083.333333333332</v>
      </c>
      <c r="BV40" s="40">
        <f t="shared" si="60"/>
        <v>32083.333333333332</v>
      </c>
      <c r="BW40" s="40">
        <f t="shared" ref="BW40:CF49" si="61">IF($D40="",0,IF(BW$5&lt;$N40,0,IF(BW$5&lt;=$O40,$D40*$H40*(1+$J40)^FLOOR((BW$5-1)/12,1)/12,IF(BW$5&lt;$T40,0,$D40*$X40*(1+$J40)^FLOOR((BW$5-$R40)/12,1)/12))))</f>
        <v>32083.333333333332</v>
      </c>
      <c r="BX40" s="40">
        <f t="shared" si="61"/>
        <v>32083.333333333332</v>
      </c>
      <c r="BY40" s="40">
        <f t="shared" si="61"/>
        <v>32083.333333333332</v>
      </c>
      <c r="BZ40" s="40">
        <f t="shared" si="61"/>
        <v>32083.333333333332</v>
      </c>
      <c r="CA40" s="40">
        <f t="shared" si="61"/>
        <v>32083.333333333332</v>
      </c>
      <c r="CB40" s="40">
        <f t="shared" si="61"/>
        <v>32083.333333333332</v>
      </c>
      <c r="CC40" s="40">
        <f t="shared" si="61"/>
        <v>32083.333333333332</v>
      </c>
      <c r="CD40" s="40">
        <f t="shared" si="61"/>
        <v>32083.333333333332</v>
      </c>
      <c r="CE40" s="40">
        <f t="shared" si="61"/>
        <v>32083.333333333332</v>
      </c>
      <c r="CF40" s="40">
        <f t="shared" si="61"/>
        <v>32083.333333333332</v>
      </c>
      <c r="CG40" s="40">
        <f t="shared" ref="CG40:CP49" si="62">IF($D40="",0,IF(CG$5&lt;$N40,0,IF(CG$5&lt;=$O40,$D40*$H40*(1+$J40)^FLOOR((CG$5-1)/12,1)/12,IF(CG$5&lt;$T40,0,$D40*$X40*(1+$J40)^FLOOR((CG$5-$R40)/12,1)/12))))</f>
        <v>32083.333333333332</v>
      </c>
      <c r="CH40" s="40">
        <f t="shared" si="62"/>
        <v>32083.333333333332</v>
      </c>
      <c r="CI40" s="40">
        <f t="shared" si="62"/>
        <v>32083.333333333332</v>
      </c>
      <c r="CJ40" s="40">
        <f t="shared" si="62"/>
        <v>32083.333333333332</v>
      </c>
      <c r="CK40" s="40">
        <f t="shared" si="62"/>
        <v>32083.333333333332</v>
      </c>
      <c r="CL40" s="40">
        <f t="shared" si="62"/>
        <v>32083.333333333332</v>
      </c>
      <c r="CM40" s="40">
        <f t="shared" si="62"/>
        <v>32083.333333333332</v>
      </c>
      <c r="CN40" s="40">
        <f t="shared" si="62"/>
        <v>32083.333333333332</v>
      </c>
      <c r="CO40" s="40">
        <f t="shared" si="62"/>
        <v>32083.333333333332</v>
      </c>
      <c r="CP40" s="40">
        <f t="shared" si="62"/>
        <v>32083.333333333332</v>
      </c>
      <c r="CQ40" s="40">
        <f t="shared" ref="CQ40:CZ49" si="63">IF($D40="",0,IF(CQ$5&lt;$N40,0,IF(CQ$5&lt;=$O40,$D40*$H40*(1+$J40)^FLOOR((CQ$5-1)/12,1)/12,IF(CQ$5&lt;$T40,0,$D40*$X40*(1+$J40)^FLOOR((CQ$5-$R40)/12,1)/12))))</f>
        <v>32083.333333333332</v>
      </c>
      <c r="CR40" s="40">
        <f t="shared" si="63"/>
        <v>32083.333333333332</v>
      </c>
      <c r="CS40" s="40">
        <f t="shared" si="63"/>
        <v>32083.333333333332</v>
      </c>
      <c r="CT40" s="40">
        <f t="shared" si="63"/>
        <v>32083.333333333332</v>
      </c>
      <c r="CU40" s="40">
        <f t="shared" si="63"/>
        <v>32083.333333333332</v>
      </c>
      <c r="CV40" s="40">
        <f t="shared" si="63"/>
        <v>32083.333333333332</v>
      </c>
      <c r="CW40" s="40">
        <f t="shared" si="63"/>
        <v>32083.333333333332</v>
      </c>
      <c r="CX40" s="40">
        <f t="shared" si="63"/>
        <v>32083.333333333332</v>
      </c>
      <c r="CY40" s="40">
        <f t="shared" si="63"/>
        <v>32083.333333333332</v>
      </c>
      <c r="CZ40" s="40">
        <f t="shared" si="63"/>
        <v>32083.333333333332</v>
      </c>
      <c r="DA40" s="40">
        <f t="shared" ref="DA40:DJ49" si="64">IF($D40="",0,IF(DA$5&lt;$N40,0,IF(DA$5&lt;=$O40,$D40*$H40*(1+$J40)^FLOOR((DA$5-1)/12,1)/12,IF(DA$5&lt;$T40,0,$D40*$X40*(1+$J40)^FLOOR((DA$5-$R40)/12,1)/12))))</f>
        <v>32083.333333333332</v>
      </c>
      <c r="DB40" s="40">
        <f t="shared" si="64"/>
        <v>32083.333333333332</v>
      </c>
      <c r="DC40" s="40">
        <f t="shared" si="64"/>
        <v>32083.333333333332</v>
      </c>
      <c r="DD40" s="40">
        <f t="shared" si="64"/>
        <v>32083.333333333332</v>
      </c>
      <c r="DE40" s="40">
        <f t="shared" si="64"/>
        <v>32083.333333333332</v>
      </c>
      <c r="DF40" s="40">
        <f t="shared" si="64"/>
        <v>32083.333333333332</v>
      </c>
      <c r="DG40" s="40">
        <f t="shared" si="64"/>
        <v>32083.333333333332</v>
      </c>
      <c r="DH40" s="40">
        <f t="shared" si="64"/>
        <v>32083.333333333332</v>
      </c>
      <c r="DI40" s="40">
        <f t="shared" si="64"/>
        <v>32083.333333333332</v>
      </c>
      <c r="DJ40" s="40">
        <f t="shared" si="64"/>
        <v>32083.333333333332</v>
      </c>
      <c r="DK40" s="40">
        <f t="shared" ref="DK40:DT49" si="65">IF($D40="",0,IF(DK$5&lt;$N40,0,IF(DK$5&lt;=$O40,$D40*$H40*(1+$J40)^FLOOR((DK$5-1)/12,1)/12,IF(DK$5&lt;$T40,0,$D40*$X40*(1+$J40)^FLOOR((DK$5-$R40)/12,1)/12))))</f>
        <v>32083.333333333332</v>
      </c>
      <c r="DL40" s="40">
        <f t="shared" si="65"/>
        <v>32083.333333333332</v>
      </c>
      <c r="DM40" s="40">
        <f t="shared" si="65"/>
        <v>32083.333333333332</v>
      </c>
      <c r="DN40" s="40">
        <f t="shared" si="65"/>
        <v>32083.333333333332</v>
      </c>
      <c r="DO40" s="40">
        <f t="shared" si="65"/>
        <v>32083.333333333332</v>
      </c>
      <c r="DP40" s="40">
        <f t="shared" si="65"/>
        <v>32083.333333333332</v>
      </c>
      <c r="DQ40" s="40">
        <f t="shared" si="65"/>
        <v>32083.333333333332</v>
      </c>
      <c r="DR40" s="40">
        <f t="shared" si="65"/>
        <v>32083.333333333332</v>
      </c>
      <c r="DS40" s="40">
        <f t="shared" si="65"/>
        <v>32083.333333333332</v>
      </c>
      <c r="DT40" s="40">
        <f t="shared" si="65"/>
        <v>32083.333333333332</v>
      </c>
      <c r="DU40" s="40">
        <f t="shared" ref="DU40:ED49" si="66">IF($D40="",0,IF(DU$5&lt;$N40,0,IF(DU$5&lt;=$O40,$D40*$H40*(1+$J40)^FLOOR((DU$5-1)/12,1)/12,IF(DU$5&lt;$T40,0,$D40*$X40*(1+$J40)^FLOOR((DU$5-$R40)/12,1)/12))))</f>
        <v>32083.333333333332</v>
      </c>
      <c r="DV40" s="40">
        <f t="shared" si="66"/>
        <v>32083.333333333332</v>
      </c>
      <c r="DW40" s="40">
        <f t="shared" si="66"/>
        <v>32083.333333333332</v>
      </c>
      <c r="DX40" s="40">
        <f t="shared" si="66"/>
        <v>32083.333333333332</v>
      </c>
      <c r="DY40" s="40">
        <f t="shared" si="66"/>
        <v>32083.333333333332</v>
      </c>
      <c r="DZ40" s="40">
        <f t="shared" si="66"/>
        <v>32083.333333333332</v>
      </c>
      <c r="EA40" s="40">
        <f t="shared" si="66"/>
        <v>32083.333333333332</v>
      </c>
      <c r="EB40" s="40">
        <f t="shared" si="66"/>
        <v>32083.333333333332</v>
      </c>
      <c r="EC40" s="40">
        <f t="shared" si="66"/>
        <v>32083.333333333332</v>
      </c>
      <c r="ED40" s="40">
        <f t="shared" si="66"/>
        <v>32083.333333333332</v>
      </c>
      <c r="EE40" s="40">
        <f t="shared" ref="EE40:EN49" si="67">IF($D40="",0,IF(EE$5&lt;$N40,0,IF(EE$5&lt;=$O40,$D40*$H40*(1+$J40)^FLOOR((EE$5-1)/12,1)/12,IF(EE$5&lt;$T40,0,$D40*$X40*(1+$J40)^FLOOR((EE$5-$R40)/12,1)/12))))</f>
        <v>32083.333333333332</v>
      </c>
      <c r="EF40" s="40">
        <f t="shared" si="67"/>
        <v>32083.333333333332</v>
      </c>
      <c r="EG40" s="40">
        <f t="shared" si="67"/>
        <v>32083.333333333332</v>
      </c>
      <c r="EH40" s="40">
        <f t="shared" si="67"/>
        <v>32083.333333333332</v>
      </c>
      <c r="EI40" s="40">
        <f t="shared" si="67"/>
        <v>32083.333333333332</v>
      </c>
      <c r="EJ40" s="40">
        <f t="shared" si="67"/>
        <v>32083.333333333332</v>
      </c>
      <c r="EK40" s="40">
        <f t="shared" si="67"/>
        <v>32083.333333333332</v>
      </c>
      <c r="EL40" s="40">
        <f t="shared" si="67"/>
        <v>32083.333333333332</v>
      </c>
      <c r="EM40" s="40">
        <f t="shared" si="67"/>
        <v>32083.333333333332</v>
      </c>
      <c r="EN40" s="40">
        <f t="shared" si="67"/>
        <v>32083.333333333332</v>
      </c>
    </row>
    <row r="41" spans="2:144" x14ac:dyDescent="0.35">
      <c r="B41" s="37" t="s">
        <v>328</v>
      </c>
      <c r="C41" s="19" t="s">
        <v>329</v>
      </c>
      <c r="D41" s="20">
        <v>43000</v>
      </c>
      <c r="E41" s="18">
        <f t="shared" si="8"/>
        <v>3.545514511873351E-2</v>
      </c>
      <c r="F41" s="38">
        <v>43405</v>
      </c>
      <c r="G41" s="38">
        <v>45200</v>
      </c>
      <c r="H41" s="32">
        <v>5.35</v>
      </c>
      <c r="I41" s="28">
        <f t="shared" si="9"/>
        <v>230049.99999999997</v>
      </c>
      <c r="J41" s="26">
        <v>0</v>
      </c>
      <c r="K41" s="37" t="s">
        <v>266</v>
      </c>
      <c r="L41" s="32">
        <v>10</v>
      </c>
      <c r="M41" s="37" t="s">
        <v>278</v>
      </c>
      <c r="N41" s="39">
        <f t="shared" si="10"/>
        <v>-61</v>
      </c>
      <c r="O41" s="39">
        <f t="shared" si="11"/>
        <v>-2</v>
      </c>
      <c r="P41" s="39">
        <f t="shared" si="12"/>
        <v>1</v>
      </c>
      <c r="Q41" s="39">
        <f t="shared" si="13"/>
        <v>3</v>
      </c>
      <c r="R41" s="39">
        <f t="shared" si="14"/>
        <v>4</v>
      </c>
      <c r="S41" s="39">
        <f t="shared" si="15"/>
        <v>1</v>
      </c>
      <c r="T41" s="39">
        <f t="shared" si="16"/>
        <v>5</v>
      </c>
      <c r="U41" s="39">
        <f t="shared" si="17"/>
        <v>1</v>
      </c>
      <c r="V41" s="39">
        <f t="shared" si="18"/>
        <v>102125</v>
      </c>
      <c r="W41" s="39">
        <f>IF(D41="",0,Retention_Ratio*LC_Ren*LeaseTermYrs*'Rent Roll'!D41*'Rent Roll'!X41+(1-Retention_Ratio)*LC_Ren*LeaseTermYrs*'Rent Roll'!D41*'Rent Roll'!X41)</f>
        <v>64499.999999999993</v>
      </c>
      <c r="X41" s="25">
        <f t="shared" si="19"/>
        <v>10</v>
      </c>
      <c r="Y41" s="40">
        <f t="shared" si="56"/>
        <v>0</v>
      </c>
      <c r="Z41" s="40">
        <f t="shared" si="56"/>
        <v>0</v>
      </c>
      <c r="AA41" s="40">
        <f t="shared" si="56"/>
        <v>0</v>
      </c>
      <c r="AB41" s="40">
        <f t="shared" si="56"/>
        <v>0</v>
      </c>
      <c r="AC41" s="40">
        <f t="shared" si="56"/>
        <v>35833.333333333336</v>
      </c>
      <c r="AD41" s="40">
        <f t="shared" si="56"/>
        <v>35833.333333333336</v>
      </c>
      <c r="AE41" s="40">
        <f t="shared" si="56"/>
        <v>35833.333333333336</v>
      </c>
      <c r="AF41" s="40">
        <f t="shared" si="56"/>
        <v>35833.333333333336</v>
      </c>
      <c r="AG41" s="40">
        <f t="shared" si="56"/>
        <v>35833.333333333336</v>
      </c>
      <c r="AH41" s="40">
        <f t="shared" si="56"/>
        <v>35833.333333333336</v>
      </c>
      <c r="AI41" s="40">
        <f t="shared" si="57"/>
        <v>35833.333333333336</v>
      </c>
      <c r="AJ41" s="40">
        <f t="shared" si="57"/>
        <v>35833.333333333336</v>
      </c>
      <c r="AK41" s="40">
        <f t="shared" si="57"/>
        <v>35833.333333333336</v>
      </c>
      <c r="AL41" s="40">
        <f t="shared" si="57"/>
        <v>35833.333333333336</v>
      </c>
      <c r="AM41" s="40">
        <f t="shared" si="57"/>
        <v>35833.333333333336</v>
      </c>
      <c r="AN41" s="40">
        <f t="shared" si="57"/>
        <v>35833.333333333336</v>
      </c>
      <c r="AO41" s="40">
        <f t="shared" si="57"/>
        <v>35833.333333333336</v>
      </c>
      <c r="AP41" s="40">
        <f t="shared" si="57"/>
        <v>35833.333333333336</v>
      </c>
      <c r="AQ41" s="40">
        <f t="shared" si="57"/>
        <v>35833.333333333336</v>
      </c>
      <c r="AR41" s="40">
        <f t="shared" si="57"/>
        <v>35833.333333333336</v>
      </c>
      <c r="AS41" s="40">
        <f t="shared" si="58"/>
        <v>35833.333333333336</v>
      </c>
      <c r="AT41" s="40">
        <f t="shared" si="58"/>
        <v>35833.333333333336</v>
      </c>
      <c r="AU41" s="40">
        <f t="shared" si="58"/>
        <v>35833.333333333336</v>
      </c>
      <c r="AV41" s="40">
        <f t="shared" si="58"/>
        <v>35833.333333333336</v>
      </c>
      <c r="AW41" s="40">
        <f t="shared" si="58"/>
        <v>35833.333333333336</v>
      </c>
      <c r="AX41" s="40">
        <f t="shared" si="58"/>
        <v>35833.333333333336</v>
      </c>
      <c r="AY41" s="40">
        <f t="shared" si="58"/>
        <v>35833.333333333336</v>
      </c>
      <c r="AZ41" s="40">
        <f t="shared" si="58"/>
        <v>35833.333333333336</v>
      </c>
      <c r="BA41" s="40">
        <f t="shared" si="58"/>
        <v>35833.333333333336</v>
      </c>
      <c r="BB41" s="40">
        <f t="shared" si="58"/>
        <v>35833.333333333336</v>
      </c>
      <c r="BC41" s="40">
        <f t="shared" si="59"/>
        <v>35833.333333333336</v>
      </c>
      <c r="BD41" s="40">
        <f t="shared" si="59"/>
        <v>35833.333333333336</v>
      </c>
      <c r="BE41" s="40">
        <f t="shared" si="59"/>
        <v>35833.333333333336</v>
      </c>
      <c r="BF41" s="40">
        <f t="shared" si="59"/>
        <v>35833.333333333336</v>
      </c>
      <c r="BG41" s="40">
        <f t="shared" si="59"/>
        <v>35833.333333333336</v>
      </c>
      <c r="BH41" s="40">
        <f t="shared" si="59"/>
        <v>35833.333333333336</v>
      </c>
      <c r="BI41" s="40">
        <f t="shared" si="59"/>
        <v>35833.333333333336</v>
      </c>
      <c r="BJ41" s="40">
        <f t="shared" si="59"/>
        <v>35833.333333333336</v>
      </c>
      <c r="BK41" s="40">
        <f t="shared" si="59"/>
        <v>35833.333333333336</v>
      </c>
      <c r="BL41" s="40">
        <f t="shared" si="59"/>
        <v>35833.333333333336</v>
      </c>
      <c r="BM41" s="40">
        <f t="shared" si="60"/>
        <v>35833.333333333336</v>
      </c>
      <c r="BN41" s="40">
        <f t="shared" si="60"/>
        <v>35833.333333333336</v>
      </c>
      <c r="BO41" s="40">
        <f t="shared" si="60"/>
        <v>35833.333333333336</v>
      </c>
      <c r="BP41" s="40">
        <f t="shared" si="60"/>
        <v>35833.333333333336</v>
      </c>
      <c r="BQ41" s="40">
        <f t="shared" si="60"/>
        <v>35833.333333333336</v>
      </c>
      <c r="BR41" s="40">
        <f t="shared" si="60"/>
        <v>35833.333333333336</v>
      </c>
      <c r="BS41" s="40">
        <f t="shared" si="60"/>
        <v>35833.333333333336</v>
      </c>
      <c r="BT41" s="40">
        <f t="shared" si="60"/>
        <v>35833.333333333336</v>
      </c>
      <c r="BU41" s="40">
        <f t="shared" si="60"/>
        <v>35833.333333333336</v>
      </c>
      <c r="BV41" s="40">
        <f t="shared" si="60"/>
        <v>35833.333333333336</v>
      </c>
      <c r="BW41" s="40">
        <f t="shared" si="61"/>
        <v>35833.333333333336</v>
      </c>
      <c r="BX41" s="40">
        <f t="shared" si="61"/>
        <v>35833.333333333336</v>
      </c>
      <c r="BY41" s="40">
        <f t="shared" si="61"/>
        <v>35833.333333333336</v>
      </c>
      <c r="BZ41" s="40">
        <f t="shared" si="61"/>
        <v>35833.333333333336</v>
      </c>
      <c r="CA41" s="40">
        <f t="shared" si="61"/>
        <v>35833.333333333336</v>
      </c>
      <c r="CB41" s="40">
        <f t="shared" si="61"/>
        <v>35833.333333333336</v>
      </c>
      <c r="CC41" s="40">
        <f t="shared" si="61"/>
        <v>35833.333333333336</v>
      </c>
      <c r="CD41" s="40">
        <f t="shared" si="61"/>
        <v>35833.333333333336</v>
      </c>
      <c r="CE41" s="40">
        <f t="shared" si="61"/>
        <v>35833.333333333336</v>
      </c>
      <c r="CF41" s="40">
        <f t="shared" si="61"/>
        <v>35833.333333333336</v>
      </c>
      <c r="CG41" s="40">
        <f t="shared" si="62"/>
        <v>35833.333333333336</v>
      </c>
      <c r="CH41" s="40">
        <f t="shared" si="62"/>
        <v>35833.333333333336</v>
      </c>
      <c r="CI41" s="40">
        <f t="shared" si="62"/>
        <v>35833.333333333336</v>
      </c>
      <c r="CJ41" s="40">
        <f t="shared" si="62"/>
        <v>35833.333333333336</v>
      </c>
      <c r="CK41" s="40">
        <f t="shared" si="62"/>
        <v>35833.333333333336</v>
      </c>
      <c r="CL41" s="40">
        <f t="shared" si="62"/>
        <v>35833.333333333336</v>
      </c>
      <c r="CM41" s="40">
        <f t="shared" si="62"/>
        <v>35833.333333333336</v>
      </c>
      <c r="CN41" s="40">
        <f t="shared" si="62"/>
        <v>35833.333333333336</v>
      </c>
      <c r="CO41" s="40">
        <f t="shared" si="62"/>
        <v>35833.333333333336</v>
      </c>
      <c r="CP41" s="40">
        <f t="shared" si="62"/>
        <v>35833.333333333336</v>
      </c>
      <c r="CQ41" s="40">
        <f t="shared" si="63"/>
        <v>35833.333333333336</v>
      </c>
      <c r="CR41" s="40">
        <f t="shared" si="63"/>
        <v>35833.333333333336</v>
      </c>
      <c r="CS41" s="40">
        <f t="shared" si="63"/>
        <v>35833.333333333336</v>
      </c>
      <c r="CT41" s="40">
        <f t="shared" si="63"/>
        <v>35833.333333333336</v>
      </c>
      <c r="CU41" s="40">
        <f t="shared" si="63"/>
        <v>35833.333333333336</v>
      </c>
      <c r="CV41" s="40">
        <f t="shared" si="63"/>
        <v>35833.333333333336</v>
      </c>
      <c r="CW41" s="40">
        <f t="shared" si="63"/>
        <v>35833.333333333336</v>
      </c>
      <c r="CX41" s="40">
        <f t="shared" si="63"/>
        <v>35833.333333333336</v>
      </c>
      <c r="CY41" s="40">
        <f t="shared" si="63"/>
        <v>35833.333333333336</v>
      </c>
      <c r="CZ41" s="40">
        <f t="shared" si="63"/>
        <v>35833.333333333336</v>
      </c>
      <c r="DA41" s="40">
        <f t="shared" si="64"/>
        <v>35833.333333333336</v>
      </c>
      <c r="DB41" s="40">
        <f t="shared" si="64"/>
        <v>35833.333333333336</v>
      </c>
      <c r="DC41" s="40">
        <f t="shared" si="64"/>
        <v>35833.333333333336</v>
      </c>
      <c r="DD41" s="40">
        <f t="shared" si="64"/>
        <v>35833.333333333336</v>
      </c>
      <c r="DE41" s="40">
        <f t="shared" si="64"/>
        <v>35833.333333333336</v>
      </c>
      <c r="DF41" s="40">
        <f t="shared" si="64"/>
        <v>35833.333333333336</v>
      </c>
      <c r="DG41" s="40">
        <f t="shared" si="64"/>
        <v>35833.333333333336</v>
      </c>
      <c r="DH41" s="40">
        <f t="shared" si="64"/>
        <v>35833.333333333336</v>
      </c>
      <c r="DI41" s="40">
        <f t="shared" si="64"/>
        <v>35833.333333333336</v>
      </c>
      <c r="DJ41" s="40">
        <f t="shared" si="64"/>
        <v>35833.333333333336</v>
      </c>
      <c r="DK41" s="40">
        <f t="shared" si="65"/>
        <v>35833.333333333336</v>
      </c>
      <c r="DL41" s="40">
        <f t="shared" si="65"/>
        <v>35833.333333333336</v>
      </c>
      <c r="DM41" s="40">
        <f t="shared" si="65"/>
        <v>35833.333333333336</v>
      </c>
      <c r="DN41" s="40">
        <f t="shared" si="65"/>
        <v>35833.333333333336</v>
      </c>
      <c r="DO41" s="40">
        <f t="shared" si="65"/>
        <v>35833.333333333336</v>
      </c>
      <c r="DP41" s="40">
        <f t="shared" si="65"/>
        <v>35833.333333333336</v>
      </c>
      <c r="DQ41" s="40">
        <f t="shared" si="65"/>
        <v>35833.333333333336</v>
      </c>
      <c r="DR41" s="40">
        <f t="shared" si="65"/>
        <v>35833.333333333336</v>
      </c>
      <c r="DS41" s="40">
        <f t="shared" si="65"/>
        <v>35833.333333333336</v>
      </c>
      <c r="DT41" s="40">
        <f t="shared" si="65"/>
        <v>35833.333333333336</v>
      </c>
      <c r="DU41" s="40">
        <f t="shared" si="66"/>
        <v>35833.333333333336</v>
      </c>
      <c r="DV41" s="40">
        <f t="shared" si="66"/>
        <v>35833.333333333336</v>
      </c>
      <c r="DW41" s="40">
        <f t="shared" si="66"/>
        <v>35833.333333333336</v>
      </c>
      <c r="DX41" s="40">
        <f t="shared" si="66"/>
        <v>35833.333333333336</v>
      </c>
      <c r="DY41" s="40">
        <f t="shared" si="66"/>
        <v>35833.333333333336</v>
      </c>
      <c r="DZ41" s="40">
        <f t="shared" si="66"/>
        <v>35833.333333333336</v>
      </c>
      <c r="EA41" s="40">
        <f t="shared" si="66"/>
        <v>35833.333333333336</v>
      </c>
      <c r="EB41" s="40">
        <f t="shared" si="66"/>
        <v>35833.333333333336</v>
      </c>
      <c r="EC41" s="40">
        <f t="shared" si="66"/>
        <v>35833.333333333336</v>
      </c>
      <c r="ED41" s="40">
        <f t="shared" si="66"/>
        <v>35833.333333333336</v>
      </c>
      <c r="EE41" s="40">
        <f t="shared" si="67"/>
        <v>35833.333333333336</v>
      </c>
      <c r="EF41" s="40">
        <f t="shared" si="67"/>
        <v>35833.333333333336</v>
      </c>
      <c r="EG41" s="40">
        <f t="shared" si="67"/>
        <v>35833.333333333336</v>
      </c>
      <c r="EH41" s="40">
        <f t="shared" si="67"/>
        <v>35833.333333333336</v>
      </c>
      <c r="EI41" s="40">
        <f t="shared" si="67"/>
        <v>35833.333333333336</v>
      </c>
      <c r="EJ41" s="40">
        <f t="shared" si="67"/>
        <v>35833.333333333336</v>
      </c>
      <c r="EK41" s="40">
        <f t="shared" si="67"/>
        <v>35833.333333333336</v>
      </c>
      <c r="EL41" s="40">
        <f t="shared" si="67"/>
        <v>35833.333333333336</v>
      </c>
      <c r="EM41" s="40">
        <f t="shared" si="67"/>
        <v>35833.333333333336</v>
      </c>
      <c r="EN41" s="40">
        <f t="shared" si="67"/>
        <v>35833.333333333336</v>
      </c>
    </row>
    <row r="42" spans="2:144" x14ac:dyDescent="0.35">
      <c r="B42" s="37" t="s">
        <v>330</v>
      </c>
      <c r="C42" s="19" t="s">
        <v>331</v>
      </c>
      <c r="D42" s="20">
        <v>31000</v>
      </c>
      <c r="E42" s="18">
        <f t="shared" ref="E42:E59" si="68">IFERROR(D42/TotalSF,0)</f>
        <v>2.5560686015831134E-2</v>
      </c>
      <c r="F42" s="38">
        <v>42675</v>
      </c>
      <c r="G42" s="38">
        <v>46296</v>
      </c>
      <c r="H42" s="32">
        <v>6.7</v>
      </c>
      <c r="I42" s="28">
        <f t="shared" ref="I42:I59" si="69">IFERROR(D42*H42,0)</f>
        <v>207700</v>
      </c>
      <c r="J42" s="26">
        <v>0.03</v>
      </c>
      <c r="K42" s="37" t="s">
        <v>266</v>
      </c>
      <c r="L42" s="32">
        <v>11</v>
      </c>
      <c r="M42" s="37" t="s">
        <v>267</v>
      </c>
      <c r="N42" s="39">
        <f t="shared" ref="N42:N59" si="70">IF(F42="",0,(YEAR(F42)-YEAR(AnalysisStart))*12+(MONTH(F42)-MONTH(AnalysisStart))+1)</f>
        <v>-85</v>
      </c>
      <c r="O42" s="39">
        <f t="shared" ref="O42:O59" si="71">IF(G42="",0,(YEAR(G42)-YEAR(AnalysisStart))*12+(MONTH(G42)-MONTH(AnalysisStart))+1)</f>
        <v>34</v>
      </c>
      <c r="P42" s="39">
        <f t="shared" ref="P42:P59" si="72">IF(D42="",0,MAX(1,O42+1))</f>
        <v>35</v>
      </c>
      <c r="Q42" s="39">
        <f t="shared" ref="Q42:Q59" si="73">IF(D42="",0,Downtime_Ren*Retention_Ratio+Downtime_New*(1-Retention_Ratio))</f>
        <v>3</v>
      </c>
      <c r="R42" s="39">
        <f t="shared" ref="R42:R59" si="74">IF(D42="",0,MIN(120,P42+Q42))</f>
        <v>38</v>
      </c>
      <c r="S42" s="39">
        <f t="shared" ref="S42:S59" si="75">IF(D42="",0,FreeRent_New*(1-Retention_Ratio)+FreeRent_Ren*Retention_Ratio)</f>
        <v>1</v>
      </c>
      <c r="T42" s="39">
        <f t="shared" ref="T42:T59" si="76">IF(D42="",0,MIN(121,R42+S42))</f>
        <v>39</v>
      </c>
      <c r="U42" s="39">
        <f t="shared" ref="U42:U59" si="77">IF(D42="",0,MIN(10,MAX(1,CEILING(R42/12,1))))</f>
        <v>4</v>
      </c>
      <c r="V42" s="39">
        <f t="shared" ref="V42:V59" si="78">IF(D42="",0,(Retention_Ratio*TI_Ren+(1-Retention_Ratio)*TI_New)*D42)</f>
        <v>73625</v>
      </c>
      <c r="W42" s="39">
        <f>IF(D42="",0,Retention_Ratio*LC_Ren*LeaseTermYrs*'Rent Roll'!D42*'Rent Roll'!X42+(1-Retention_Ratio)*LC_Ren*LeaseTermYrs*'Rent Roll'!D42*'Rent Roll'!X42)</f>
        <v>59208.503474999998</v>
      </c>
      <c r="X42" s="25">
        <f t="shared" ref="X42:X59" si="79">IF(D42="",0,L42*INDEX(MktRentSchedule,U42)/MktRentY1)</f>
        <v>12.7330115</v>
      </c>
      <c r="Y42" s="40">
        <f t="shared" si="56"/>
        <v>17308.333333333332</v>
      </c>
      <c r="Z42" s="40">
        <f t="shared" si="56"/>
        <v>17308.333333333332</v>
      </c>
      <c r="AA42" s="40">
        <f t="shared" si="56"/>
        <v>17308.333333333332</v>
      </c>
      <c r="AB42" s="40">
        <f t="shared" si="56"/>
        <v>17308.333333333332</v>
      </c>
      <c r="AC42" s="40">
        <f t="shared" si="56"/>
        <v>17308.333333333332</v>
      </c>
      <c r="AD42" s="40">
        <f t="shared" si="56"/>
        <v>17308.333333333332</v>
      </c>
      <c r="AE42" s="40">
        <f t="shared" si="56"/>
        <v>17308.333333333332</v>
      </c>
      <c r="AF42" s="40">
        <f t="shared" si="56"/>
        <v>17308.333333333332</v>
      </c>
      <c r="AG42" s="40">
        <f t="shared" si="56"/>
        <v>17308.333333333332</v>
      </c>
      <c r="AH42" s="40">
        <f t="shared" si="56"/>
        <v>17308.333333333332</v>
      </c>
      <c r="AI42" s="40">
        <f t="shared" si="57"/>
        <v>17308.333333333332</v>
      </c>
      <c r="AJ42" s="40">
        <f t="shared" si="57"/>
        <v>17308.333333333332</v>
      </c>
      <c r="AK42" s="40">
        <f t="shared" si="57"/>
        <v>17827.583333333332</v>
      </c>
      <c r="AL42" s="40">
        <f t="shared" si="57"/>
        <v>17827.583333333332</v>
      </c>
      <c r="AM42" s="40">
        <f t="shared" si="57"/>
        <v>17827.583333333332</v>
      </c>
      <c r="AN42" s="40">
        <f t="shared" si="57"/>
        <v>17827.583333333332</v>
      </c>
      <c r="AO42" s="40">
        <f t="shared" si="57"/>
        <v>17827.583333333332</v>
      </c>
      <c r="AP42" s="40">
        <f t="shared" si="57"/>
        <v>17827.583333333332</v>
      </c>
      <c r="AQ42" s="40">
        <f t="shared" si="57"/>
        <v>17827.583333333332</v>
      </c>
      <c r="AR42" s="40">
        <f t="shared" si="57"/>
        <v>17827.583333333332</v>
      </c>
      <c r="AS42" s="40">
        <f t="shared" si="58"/>
        <v>17827.583333333332</v>
      </c>
      <c r="AT42" s="40">
        <f t="shared" si="58"/>
        <v>17827.583333333332</v>
      </c>
      <c r="AU42" s="40">
        <f t="shared" si="58"/>
        <v>17827.583333333332</v>
      </c>
      <c r="AV42" s="40">
        <f t="shared" si="58"/>
        <v>17827.583333333332</v>
      </c>
      <c r="AW42" s="40">
        <f t="shared" si="58"/>
        <v>18362.410833333332</v>
      </c>
      <c r="AX42" s="40">
        <f t="shared" si="58"/>
        <v>18362.410833333332</v>
      </c>
      <c r="AY42" s="40">
        <f t="shared" si="58"/>
        <v>18362.410833333332</v>
      </c>
      <c r="AZ42" s="40">
        <f t="shared" si="58"/>
        <v>18362.410833333332</v>
      </c>
      <c r="BA42" s="40">
        <f t="shared" si="58"/>
        <v>18362.410833333332</v>
      </c>
      <c r="BB42" s="40">
        <f t="shared" si="58"/>
        <v>18362.410833333332</v>
      </c>
      <c r="BC42" s="40">
        <f t="shared" si="59"/>
        <v>18362.410833333332</v>
      </c>
      <c r="BD42" s="40">
        <f t="shared" si="59"/>
        <v>18362.410833333332</v>
      </c>
      <c r="BE42" s="40">
        <f t="shared" si="59"/>
        <v>18362.410833333332</v>
      </c>
      <c r="BF42" s="40">
        <f t="shared" si="59"/>
        <v>18362.410833333332</v>
      </c>
      <c r="BG42" s="40">
        <f t="shared" si="59"/>
        <v>0</v>
      </c>
      <c r="BH42" s="40">
        <f t="shared" si="59"/>
        <v>0</v>
      </c>
      <c r="BI42" s="40">
        <f t="shared" si="59"/>
        <v>0</v>
      </c>
      <c r="BJ42" s="40">
        <f t="shared" si="59"/>
        <v>0</v>
      </c>
      <c r="BK42" s="40">
        <f t="shared" si="59"/>
        <v>32893.613041666664</v>
      </c>
      <c r="BL42" s="40">
        <f t="shared" si="59"/>
        <v>32893.613041666664</v>
      </c>
      <c r="BM42" s="40">
        <f t="shared" si="60"/>
        <v>32893.613041666664</v>
      </c>
      <c r="BN42" s="40">
        <f t="shared" si="60"/>
        <v>32893.613041666664</v>
      </c>
      <c r="BO42" s="40">
        <f t="shared" si="60"/>
        <v>32893.613041666664</v>
      </c>
      <c r="BP42" s="40">
        <f t="shared" si="60"/>
        <v>32893.613041666664</v>
      </c>
      <c r="BQ42" s="40">
        <f t="shared" si="60"/>
        <v>32893.613041666664</v>
      </c>
      <c r="BR42" s="40">
        <f t="shared" si="60"/>
        <v>32893.613041666664</v>
      </c>
      <c r="BS42" s="40">
        <f t="shared" si="60"/>
        <v>32893.613041666664</v>
      </c>
      <c r="BT42" s="40">
        <f t="shared" si="60"/>
        <v>32893.613041666664</v>
      </c>
      <c r="BU42" s="40">
        <f t="shared" si="60"/>
        <v>32893.613041666664</v>
      </c>
      <c r="BV42" s="40">
        <f t="shared" si="60"/>
        <v>33880.421432916664</v>
      </c>
      <c r="BW42" s="40">
        <f t="shared" si="61"/>
        <v>33880.421432916664</v>
      </c>
      <c r="BX42" s="40">
        <f t="shared" si="61"/>
        <v>33880.421432916664</v>
      </c>
      <c r="BY42" s="40">
        <f t="shared" si="61"/>
        <v>33880.421432916664</v>
      </c>
      <c r="BZ42" s="40">
        <f t="shared" si="61"/>
        <v>33880.421432916664</v>
      </c>
      <c r="CA42" s="40">
        <f t="shared" si="61"/>
        <v>33880.421432916664</v>
      </c>
      <c r="CB42" s="40">
        <f t="shared" si="61"/>
        <v>33880.421432916664</v>
      </c>
      <c r="CC42" s="40">
        <f t="shared" si="61"/>
        <v>33880.421432916664</v>
      </c>
      <c r="CD42" s="40">
        <f t="shared" si="61"/>
        <v>33880.421432916664</v>
      </c>
      <c r="CE42" s="40">
        <f t="shared" si="61"/>
        <v>33880.421432916664</v>
      </c>
      <c r="CF42" s="40">
        <f t="shared" si="61"/>
        <v>33880.421432916664</v>
      </c>
      <c r="CG42" s="40">
        <f t="shared" si="62"/>
        <v>33880.421432916664</v>
      </c>
      <c r="CH42" s="40">
        <f t="shared" si="62"/>
        <v>34896.834075904168</v>
      </c>
      <c r="CI42" s="40">
        <f t="shared" si="62"/>
        <v>34896.834075904168</v>
      </c>
      <c r="CJ42" s="40">
        <f t="shared" si="62"/>
        <v>34896.834075904168</v>
      </c>
      <c r="CK42" s="40">
        <f t="shared" si="62"/>
        <v>34896.834075904168</v>
      </c>
      <c r="CL42" s="40">
        <f t="shared" si="62"/>
        <v>34896.834075904168</v>
      </c>
      <c r="CM42" s="40">
        <f t="shared" si="62"/>
        <v>34896.834075904168</v>
      </c>
      <c r="CN42" s="40">
        <f t="shared" si="62"/>
        <v>34896.834075904168</v>
      </c>
      <c r="CO42" s="40">
        <f t="shared" si="62"/>
        <v>34896.834075904168</v>
      </c>
      <c r="CP42" s="40">
        <f t="shared" si="62"/>
        <v>34896.834075904168</v>
      </c>
      <c r="CQ42" s="40">
        <f t="shared" si="63"/>
        <v>34896.834075904168</v>
      </c>
      <c r="CR42" s="40">
        <f t="shared" si="63"/>
        <v>34896.834075904168</v>
      </c>
      <c r="CS42" s="40">
        <f t="shared" si="63"/>
        <v>34896.834075904168</v>
      </c>
      <c r="CT42" s="40">
        <f t="shared" si="63"/>
        <v>35943.739098181293</v>
      </c>
      <c r="CU42" s="40">
        <f t="shared" si="63"/>
        <v>35943.739098181293</v>
      </c>
      <c r="CV42" s="40">
        <f t="shared" si="63"/>
        <v>35943.739098181293</v>
      </c>
      <c r="CW42" s="40">
        <f t="shared" si="63"/>
        <v>35943.739098181293</v>
      </c>
      <c r="CX42" s="40">
        <f t="shared" si="63"/>
        <v>35943.739098181293</v>
      </c>
      <c r="CY42" s="40">
        <f t="shared" si="63"/>
        <v>35943.739098181293</v>
      </c>
      <c r="CZ42" s="40">
        <f t="shared" si="63"/>
        <v>35943.739098181293</v>
      </c>
      <c r="DA42" s="40">
        <f t="shared" si="64"/>
        <v>35943.739098181293</v>
      </c>
      <c r="DB42" s="40">
        <f t="shared" si="64"/>
        <v>35943.739098181293</v>
      </c>
      <c r="DC42" s="40">
        <f t="shared" si="64"/>
        <v>35943.739098181293</v>
      </c>
      <c r="DD42" s="40">
        <f t="shared" si="64"/>
        <v>35943.739098181293</v>
      </c>
      <c r="DE42" s="40">
        <f t="shared" si="64"/>
        <v>35943.739098181293</v>
      </c>
      <c r="DF42" s="40">
        <f t="shared" si="64"/>
        <v>37022.051271126729</v>
      </c>
      <c r="DG42" s="40">
        <f t="shared" si="64"/>
        <v>37022.051271126729</v>
      </c>
      <c r="DH42" s="40">
        <f t="shared" si="64"/>
        <v>37022.051271126729</v>
      </c>
      <c r="DI42" s="40">
        <f t="shared" si="64"/>
        <v>37022.051271126729</v>
      </c>
      <c r="DJ42" s="40">
        <f t="shared" si="64"/>
        <v>37022.051271126729</v>
      </c>
      <c r="DK42" s="40">
        <f t="shared" si="65"/>
        <v>37022.051271126729</v>
      </c>
      <c r="DL42" s="40">
        <f t="shared" si="65"/>
        <v>37022.051271126729</v>
      </c>
      <c r="DM42" s="40">
        <f t="shared" si="65"/>
        <v>37022.051271126729</v>
      </c>
      <c r="DN42" s="40">
        <f t="shared" si="65"/>
        <v>37022.051271126729</v>
      </c>
      <c r="DO42" s="40">
        <f t="shared" si="65"/>
        <v>37022.051271126729</v>
      </c>
      <c r="DP42" s="40">
        <f t="shared" si="65"/>
        <v>37022.051271126729</v>
      </c>
      <c r="DQ42" s="40">
        <f t="shared" si="65"/>
        <v>37022.051271126729</v>
      </c>
      <c r="DR42" s="40">
        <f t="shared" si="65"/>
        <v>38132.712809260527</v>
      </c>
      <c r="DS42" s="40">
        <f t="shared" si="65"/>
        <v>38132.712809260527</v>
      </c>
      <c r="DT42" s="40">
        <f t="shared" si="65"/>
        <v>38132.712809260527</v>
      </c>
      <c r="DU42" s="40">
        <f t="shared" si="66"/>
        <v>38132.712809260527</v>
      </c>
      <c r="DV42" s="40">
        <f t="shared" si="66"/>
        <v>38132.712809260527</v>
      </c>
      <c r="DW42" s="40">
        <f t="shared" si="66"/>
        <v>38132.712809260527</v>
      </c>
      <c r="DX42" s="40">
        <f t="shared" si="66"/>
        <v>38132.712809260527</v>
      </c>
      <c r="DY42" s="40">
        <f t="shared" si="66"/>
        <v>38132.712809260527</v>
      </c>
      <c r="DZ42" s="40">
        <f t="shared" si="66"/>
        <v>38132.712809260527</v>
      </c>
      <c r="EA42" s="40">
        <f t="shared" si="66"/>
        <v>38132.712809260527</v>
      </c>
      <c r="EB42" s="40">
        <f t="shared" si="66"/>
        <v>38132.712809260527</v>
      </c>
      <c r="EC42" s="40">
        <f t="shared" si="66"/>
        <v>38132.712809260527</v>
      </c>
      <c r="ED42" s="40">
        <f t="shared" si="66"/>
        <v>39276.694193538344</v>
      </c>
      <c r="EE42" s="40">
        <f t="shared" si="67"/>
        <v>39276.694193538344</v>
      </c>
      <c r="EF42" s="40">
        <f t="shared" si="67"/>
        <v>39276.694193538344</v>
      </c>
      <c r="EG42" s="40">
        <f t="shared" si="67"/>
        <v>39276.694193538344</v>
      </c>
      <c r="EH42" s="40">
        <f t="shared" si="67"/>
        <v>39276.694193538344</v>
      </c>
      <c r="EI42" s="40">
        <f t="shared" si="67"/>
        <v>39276.694193538344</v>
      </c>
      <c r="EJ42" s="40">
        <f t="shared" si="67"/>
        <v>39276.694193538344</v>
      </c>
      <c r="EK42" s="40">
        <f t="shared" si="67"/>
        <v>39276.694193538344</v>
      </c>
      <c r="EL42" s="40">
        <f t="shared" si="67"/>
        <v>39276.694193538344</v>
      </c>
      <c r="EM42" s="40">
        <f t="shared" si="67"/>
        <v>39276.694193538344</v>
      </c>
      <c r="EN42" s="40">
        <f t="shared" si="67"/>
        <v>39276.694193538344</v>
      </c>
    </row>
    <row r="43" spans="2:144" x14ac:dyDescent="0.35">
      <c r="B43" s="37" t="s">
        <v>332</v>
      </c>
      <c r="C43" s="19" t="s">
        <v>333</v>
      </c>
      <c r="D43" s="20">
        <v>123000</v>
      </c>
      <c r="E43" s="18">
        <f t="shared" si="68"/>
        <v>0.10141820580474933</v>
      </c>
      <c r="F43" s="38">
        <v>45108</v>
      </c>
      <c r="G43" s="38">
        <v>46966</v>
      </c>
      <c r="H43" s="32">
        <v>7.13</v>
      </c>
      <c r="I43" s="28">
        <f t="shared" si="69"/>
        <v>876990</v>
      </c>
      <c r="J43" s="26">
        <v>0.04</v>
      </c>
      <c r="K43" s="37" t="s">
        <v>266</v>
      </c>
      <c r="L43" s="32">
        <v>8</v>
      </c>
      <c r="M43" s="37" t="s">
        <v>267</v>
      </c>
      <c r="N43" s="39">
        <f t="shared" si="70"/>
        <v>-5</v>
      </c>
      <c r="O43" s="39">
        <f t="shared" si="71"/>
        <v>56</v>
      </c>
      <c r="P43" s="39">
        <f t="shared" si="72"/>
        <v>57</v>
      </c>
      <c r="Q43" s="39">
        <f t="shared" si="73"/>
        <v>3</v>
      </c>
      <c r="R43" s="39">
        <f t="shared" si="74"/>
        <v>60</v>
      </c>
      <c r="S43" s="39">
        <f t="shared" si="75"/>
        <v>1</v>
      </c>
      <c r="T43" s="39">
        <f t="shared" si="76"/>
        <v>61</v>
      </c>
      <c r="U43" s="39">
        <f t="shared" si="77"/>
        <v>5</v>
      </c>
      <c r="V43" s="39">
        <f t="shared" si="78"/>
        <v>292125</v>
      </c>
      <c r="W43" s="39">
        <f>IF(D43="",0,Retention_Ratio*LC_Ren*LeaseTermYrs*'Rent Roll'!D43*'Rent Roll'!X43+(1-Retention_Ratio)*LC_Ren*LeaseTermYrs*'Rent Roll'!D43*'Rent Roll'!X43)</f>
        <v>176833.74861899996</v>
      </c>
      <c r="X43" s="25">
        <f t="shared" si="79"/>
        <v>9.5844850199999989</v>
      </c>
      <c r="Y43" s="40">
        <f t="shared" si="56"/>
        <v>73082.5</v>
      </c>
      <c r="Z43" s="40">
        <f t="shared" si="56"/>
        <v>73082.5</v>
      </c>
      <c r="AA43" s="40">
        <f t="shared" si="56"/>
        <v>73082.5</v>
      </c>
      <c r="AB43" s="40">
        <f t="shared" si="56"/>
        <v>73082.5</v>
      </c>
      <c r="AC43" s="40">
        <f t="shared" si="56"/>
        <v>73082.5</v>
      </c>
      <c r="AD43" s="40">
        <f t="shared" si="56"/>
        <v>73082.5</v>
      </c>
      <c r="AE43" s="40">
        <f t="shared" si="56"/>
        <v>73082.5</v>
      </c>
      <c r="AF43" s="40">
        <f t="shared" si="56"/>
        <v>73082.5</v>
      </c>
      <c r="AG43" s="40">
        <f t="shared" si="56"/>
        <v>73082.5</v>
      </c>
      <c r="AH43" s="40">
        <f t="shared" si="56"/>
        <v>73082.5</v>
      </c>
      <c r="AI43" s="40">
        <f t="shared" si="57"/>
        <v>73082.5</v>
      </c>
      <c r="AJ43" s="40">
        <f t="shared" si="57"/>
        <v>73082.5</v>
      </c>
      <c r="AK43" s="40">
        <f t="shared" si="57"/>
        <v>76005.8</v>
      </c>
      <c r="AL43" s="40">
        <f t="shared" si="57"/>
        <v>76005.8</v>
      </c>
      <c r="AM43" s="40">
        <f t="shared" si="57"/>
        <v>76005.8</v>
      </c>
      <c r="AN43" s="40">
        <f t="shared" si="57"/>
        <v>76005.8</v>
      </c>
      <c r="AO43" s="40">
        <f t="shared" si="57"/>
        <v>76005.8</v>
      </c>
      <c r="AP43" s="40">
        <f t="shared" si="57"/>
        <v>76005.8</v>
      </c>
      <c r="AQ43" s="40">
        <f t="shared" si="57"/>
        <v>76005.8</v>
      </c>
      <c r="AR43" s="40">
        <f t="shared" si="57"/>
        <v>76005.8</v>
      </c>
      <c r="AS43" s="40">
        <f t="shared" si="58"/>
        <v>76005.8</v>
      </c>
      <c r="AT43" s="40">
        <f t="shared" si="58"/>
        <v>76005.8</v>
      </c>
      <c r="AU43" s="40">
        <f t="shared" si="58"/>
        <v>76005.8</v>
      </c>
      <c r="AV43" s="40">
        <f t="shared" si="58"/>
        <v>76005.8</v>
      </c>
      <c r="AW43" s="40">
        <f t="shared" si="58"/>
        <v>79046.032000000007</v>
      </c>
      <c r="AX43" s="40">
        <f t="shared" si="58"/>
        <v>79046.032000000007</v>
      </c>
      <c r="AY43" s="40">
        <f t="shared" si="58"/>
        <v>79046.032000000007</v>
      </c>
      <c r="AZ43" s="40">
        <f t="shared" si="58"/>
        <v>79046.032000000007</v>
      </c>
      <c r="BA43" s="40">
        <f t="shared" si="58"/>
        <v>79046.032000000007</v>
      </c>
      <c r="BB43" s="40">
        <f t="shared" si="58"/>
        <v>79046.032000000007</v>
      </c>
      <c r="BC43" s="40">
        <f t="shared" si="59"/>
        <v>79046.032000000007</v>
      </c>
      <c r="BD43" s="40">
        <f t="shared" si="59"/>
        <v>79046.032000000007</v>
      </c>
      <c r="BE43" s="40">
        <f t="shared" si="59"/>
        <v>79046.032000000007</v>
      </c>
      <c r="BF43" s="40">
        <f t="shared" si="59"/>
        <v>79046.032000000007</v>
      </c>
      <c r="BG43" s="40">
        <f t="shared" si="59"/>
        <v>79046.032000000007</v>
      </c>
      <c r="BH43" s="40">
        <f t="shared" si="59"/>
        <v>79046.032000000007</v>
      </c>
      <c r="BI43" s="40">
        <f t="shared" si="59"/>
        <v>82207.873280000014</v>
      </c>
      <c r="BJ43" s="40">
        <f t="shared" si="59"/>
        <v>82207.873280000014</v>
      </c>
      <c r="BK43" s="40">
        <f t="shared" si="59"/>
        <v>82207.873280000014</v>
      </c>
      <c r="BL43" s="40">
        <f t="shared" si="59"/>
        <v>82207.873280000014</v>
      </c>
      <c r="BM43" s="40">
        <f t="shared" si="60"/>
        <v>82207.873280000014</v>
      </c>
      <c r="BN43" s="40">
        <f t="shared" si="60"/>
        <v>82207.873280000014</v>
      </c>
      <c r="BO43" s="40">
        <f t="shared" si="60"/>
        <v>82207.873280000014</v>
      </c>
      <c r="BP43" s="40">
        <f t="shared" si="60"/>
        <v>82207.873280000014</v>
      </c>
      <c r="BQ43" s="40">
        <f t="shared" si="60"/>
        <v>82207.873280000014</v>
      </c>
      <c r="BR43" s="40">
        <f t="shared" si="60"/>
        <v>82207.873280000014</v>
      </c>
      <c r="BS43" s="40">
        <f t="shared" si="60"/>
        <v>82207.873280000014</v>
      </c>
      <c r="BT43" s="40">
        <f t="shared" si="60"/>
        <v>82207.873280000014</v>
      </c>
      <c r="BU43" s="40">
        <f t="shared" si="60"/>
        <v>85496.188211200017</v>
      </c>
      <c r="BV43" s="40">
        <f t="shared" si="60"/>
        <v>85496.188211200017</v>
      </c>
      <c r="BW43" s="40">
        <f t="shared" si="61"/>
        <v>85496.188211200017</v>
      </c>
      <c r="BX43" s="40">
        <f t="shared" si="61"/>
        <v>85496.188211200017</v>
      </c>
      <c r="BY43" s="40">
        <f t="shared" si="61"/>
        <v>85496.188211200017</v>
      </c>
      <c r="BZ43" s="40">
        <f t="shared" si="61"/>
        <v>85496.188211200017</v>
      </c>
      <c r="CA43" s="40">
        <f t="shared" si="61"/>
        <v>85496.188211200017</v>
      </c>
      <c r="CB43" s="40">
        <f t="shared" si="61"/>
        <v>85496.188211200017</v>
      </c>
      <c r="CC43" s="40">
        <f t="shared" si="61"/>
        <v>0</v>
      </c>
      <c r="CD43" s="40">
        <f t="shared" si="61"/>
        <v>0</v>
      </c>
      <c r="CE43" s="40">
        <f t="shared" si="61"/>
        <v>0</v>
      </c>
      <c r="CF43" s="40">
        <f t="shared" si="61"/>
        <v>0</v>
      </c>
      <c r="CG43" s="40">
        <f t="shared" si="62"/>
        <v>98240.971454999992</v>
      </c>
      <c r="CH43" s="40">
        <f t="shared" si="62"/>
        <v>98240.971454999992</v>
      </c>
      <c r="CI43" s="40">
        <f t="shared" si="62"/>
        <v>98240.971454999992</v>
      </c>
      <c r="CJ43" s="40">
        <f t="shared" si="62"/>
        <v>98240.971454999992</v>
      </c>
      <c r="CK43" s="40">
        <f t="shared" si="62"/>
        <v>98240.971454999992</v>
      </c>
      <c r="CL43" s="40">
        <f t="shared" si="62"/>
        <v>98240.971454999992</v>
      </c>
      <c r="CM43" s="40">
        <f t="shared" si="62"/>
        <v>98240.971454999992</v>
      </c>
      <c r="CN43" s="40">
        <f t="shared" si="62"/>
        <v>98240.971454999992</v>
      </c>
      <c r="CO43" s="40">
        <f t="shared" si="62"/>
        <v>98240.971454999992</v>
      </c>
      <c r="CP43" s="40">
        <f t="shared" si="62"/>
        <v>98240.971454999992</v>
      </c>
      <c r="CQ43" s="40">
        <f t="shared" si="63"/>
        <v>98240.971454999992</v>
      </c>
      <c r="CR43" s="40">
        <f t="shared" si="63"/>
        <v>102170.6103132</v>
      </c>
      <c r="CS43" s="40">
        <f t="shared" si="63"/>
        <v>102170.6103132</v>
      </c>
      <c r="CT43" s="40">
        <f t="shared" si="63"/>
        <v>102170.6103132</v>
      </c>
      <c r="CU43" s="40">
        <f t="shared" si="63"/>
        <v>102170.6103132</v>
      </c>
      <c r="CV43" s="40">
        <f t="shared" si="63"/>
        <v>102170.6103132</v>
      </c>
      <c r="CW43" s="40">
        <f t="shared" si="63"/>
        <v>102170.6103132</v>
      </c>
      <c r="CX43" s="40">
        <f t="shared" si="63"/>
        <v>102170.6103132</v>
      </c>
      <c r="CY43" s="40">
        <f t="shared" si="63"/>
        <v>102170.6103132</v>
      </c>
      <c r="CZ43" s="40">
        <f t="shared" si="63"/>
        <v>102170.6103132</v>
      </c>
      <c r="DA43" s="40">
        <f t="shared" si="64"/>
        <v>102170.6103132</v>
      </c>
      <c r="DB43" s="40">
        <f t="shared" si="64"/>
        <v>102170.6103132</v>
      </c>
      <c r="DC43" s="40">
        <f t="shared" si="64"/>
        <v>102170.6103132</v>
      </c>
      <c r="DD43" s="40">
        <f t="shared" si="64"/>
        <v>106257.434725728</v>
      </c>
      <c r="DE43" s="40">
        <f t="shared" si="64"/>
        <v>106257.434725728</v>
      </c>
      <c r="DF43" s="40">
        <f t="shared" si="64"/>
        <v>106257.434725728</v>
      </c>
      <c r="DG43" s="40">
        <f t="shared" si="64"/>
        <v>106257.434725728</v>
      </c>
      <c r="DH43" s="40">
        <f t="shared" si="64"/>
        <v>106257.434725728</v>
      </c>
      <c r="DI43" s="40">
        <f t="shared" si="64"/>
        <v>106257.434725728</v>
      </c>
      <c r="DJ43" s="40">
        <f t="shared" si="64"/>
        <v>106257.434725728</v>
      </c>
      <c r="DK43" s="40">
        <f t="shared" si="65"/>
        <v>106257.434725728</v>
      </c>
      <c r="DL43" s="40">
        <f t="shared" si="65"/>
        <v>106257.434725728</v>
      </c>
      <c r="DM43" s="40">
        <f t="shared" si="65"/>
        <v>106257.434725728</v>
      </c>
      <c r="DN43" s="40">
        <f t="shared" si="65"/>
        <v>106257.434725728</v>
      </c>
      <c r="DO43" s="40">
        <f t="shared" si="65"/>
        <v>106257.434725728</v>
      </c>
      <c r="DP43" s="40">
        <f t="shared" si="65"/>
        <v>110507.73211475712</v>
      </c>
      <c r="DQ43" s="40">
        <f t="shared" si="65"/>
        <v>110507.73211475712</v>
      </c>
      <c r="DR43" s="40">
        <f t="shared" si="65"/>
        <v>110507.73211475712</v>
      </c>
      <c r="DS43" s="40">
        <f t="shared" si="65"/>
        <v>110507.73211475712</v>
      </c>
      <c r="DT43" s="40">
        <f t="shared" si="65"/>
        <v>110507.73211475712</v>
      </c>
      <c r="DU43" s="40">
        <f t="shared" si="66"/>
        <v>110507.73211475712</v>
      </c>
      <c r="DV43" s="40">
        <f t="shared" si="66"/>
        <v>110507.73211475712</v>
      </c>
      <c r="DW43" s="40">
        <f t="shared" si="66"/>
        <v>110507.73211475712</v>
      </c>
      <c r="DX43" s="40">
        <f t="shared" si="66"/>
        <v>110507.73211475712</v>
      </c>
      <c r="DY43" s="40">
        <f t="shared" si="66"/>
        <v>110507.73211475712</v>
      </c>
      <c r="DZ43" s="40">
        <f t="shared" si="66"/>
        <v>110507.73211475712</v>
      </c>
      <c r="EA43" s="40">
        <f t="shared" si="66"/>
        <v>110507.73211475712</v>
      </c>
      <c r="EB43" s="40">
        <f t="shared" si="66"/>
        <v>114928.04139934742</v>
      </c>
      <c r="EC43" s="40">
        <f t="shared" si="66"/>
        <v>114928.04139934742</v>
      </c>
      <c r="ED43" s="40">
        <f t="shared" si="66"/>
        <v>114928.04139934742</v>
      </c>
      <c r="EE43" s="40">
        <f t="shared" si="67"/>
        <v>114928.04139934742</v>
      </c>
      <c r="EF43" s="40">
        <f t="shared" si="67"/>
        <v>114928.04139934742</v>
      </c>
      <c r="EG43" s="40">
        <f t="shared" si="67"/>
        <v>114928.04139934742</v>
      </c>
      <c r="EH43" s="40">
        <f t="shared" si="67"/>
        <v>114928.04139934742</v>
      </c>
      <c r="EI43" s="40">
        <f t="shared" si="67"/>
        <v>114928.04139934742</v>
      </c>
      <c r="EJ43" s="40">
        <f t="shared" si="67"/>
        <v>114928.04139934742</v>
      </c>
      <c r="EK43" s="40">
        <f t="shared" si="67"/>
        <v>114928.04139934742</v>
      </c>
      <c r="EL43" s="40">
        <f t="shared" si="67"/>
        <v>114928.04139934742</v>
      </c>
      <c r="EM43" s="40">
        <f t="shared" si="67"/>
        <v>114928.04139934742</v>
      </c>
      <c r="EN43" s="40">
        <f t="shared" si="67"/>
        <v>119525.16305532132</v>
      </c>
    </row>
    <row r="44" spans="2:144" x14ac:dyDescent="0.35">
      <c r="B44" s="37" t="s">
        <v>334</v>
      </c>
      <c r="C44" s="19" t="s">
        <v>335</v>
      </c>
      <c r="D44" s="20">
        <v>50000</v>
      </c>
      <c r="E44" s="18">
        <f t="shared" si="68"/>
        <v>4.1226912928759893E-2</v>
      </c>
      <c r="F44" s="38">
        <v>43132</v>
      </c>
      <c r="G44" s="38">
        <v>45658</v>
      </c>
      <c r="H44" s="32">
        <v>5.22</v>
      </c>
      <c r="I44" s="28">
        <f t="shared" si="69"/>
        <v>261000</v>
      </c>
      <c r="J44" s="26">
        <v>0.03</v>
      </c>
      <c r="K44" s="37" t="s">
        <v>266</v>
      </c>
      <c r="L44" s="32">
        <v>10</v>
      </c>
      <c r="M44" s="37" t="s">
        <v>267</v>
      </c>
      <c r="N44" s="39">
        <f t="shared" si="70"/>
        <v>-70</v>
      </c>
      <c r="O44" s="39">
        <f t="shared" si="71"/>
        <v>13</v>
      </c>
      <c r="P44" s="39">
        <f t="shared" si="72"/>
        <v>14</v>
      </c>
      <c r="Q44" s="39">
        <f t="shared" si="73"/>
        <v>3</v>
      </c>
      <c r="R44" s="39">
        <f t="shared" si="74"/>
        <v>17</v>
      </c>
      <c r="S44" s="39">
        <f t="shared" si="75"/>
        <v>1</v>
      </c>
      <c r="T44" s="39">
        <f t="shared" si="76"/>
        <v>18</v>
      </c>
      <c r="U44" s="39">
        <f t="shared" si="77"/>
        <v>2</v>
      </c>
      <c r="V44" s="39">
        <f t="shared" si="78"/>
        <v>118750</v>
      </c>
      <c r="W44" s="39">
        <f>IF(D44="",0,Retention_Ratio*LC_Ren*LeaseTermYrs*'Rent Roll'!D44*'Rent Roll'!X44+(1-Retention_Ratio)*LC_Ren*LeaseTermYrs*'Rent Roll'!D44*'Rent Roll'!X44)</f>
        <v>79500</v>
      </c>
      <c r="X44" s="25">
        <f t="shared" si="79"/>
        <v>10.600000000000001</v>
      </c>
      <c r="Y44" s="40">
        <f t="shared" si="56"/>
        <v>21750</v>
      </c>
      <c r="Z44" s="40">
        <f t="shared" si="56"/>
        <v>21750</v>
      </c>
      <c r="AA44" s="40">
        <f t="shared" si="56"/>
        <v>21750</v>
      </c>
      <c r="AB44" s="40">
        <f t="shared" si="56"/>
        <v>21750</v>
      </c>
      <c r="AC44" s="40">
        <f t="shared" si="56"/>
        <v>21750</v>
      </c>
      <c r="AD44" s="40">
        <f t="shared" si="56"/>
        <v>21750</v>
      </c>
      <c r="AE44" s="40">
        <f t="shared" si="56"/>
        <v>21750</v>
      </c>
      <c r="AF44" s="40">
        <f t="shared" si="56"/>
        <v>21750</v>
      </c>
      <c r="AG44" s="40">
        <f t="shared" si="56"/>
        <v>21750</v>
      </c>
      <c r="AH44" s="40">
        <f t="shared" si="56"/>
        <v>21750</v>
      </c>
      <c r="AI44" s="40">
        <f t="shared" si="57"/>
        <v>21750</v>
      </c>
      <c r="AJ44" s="40">
        <f t="shared" si="57"/>
        <v>21750</v>
      </c>
      <c r="AK44" s="40">
        <f t="shared" si="57"/>
        <v>22402.5</v>
      </c>
      <c r="AL44" s="40">
        <f t="shared" si="57"/>
        <v>0</v>
      </c>
      <c r="AM44" s="40">
        <f t="shared" si="57"/>
        <v>0</v>
      </c>
      <c r="AN44" s="40">
        <f t="shared" si="57"/>
        <v>0</v>
      </c>
      <c r="AO44" s="40">
        <f t="shared" si="57"/>
        <v>0</v>
      </c>
      <c r="AP44" s="40">
        <f t="shared" si="57"/>
        <v>44166.666666666679</v>
      </c>
      <c r="AQ44" s="40">
        <f t="shared" si="57"/>
        <v>44166.666666666679</v>
      </c>
      <c r="AR44" s="40">
        <f t="shared" si="57"/>
        <v>44166.666666666679</v>
      </c>
      <c r="AS44" s="40">
        <f t="shared" si="58"/>
        <v>44166.666666666679</v>
      </c>
      <c r="AT44" s="40">
        <f t="shared" si="58"/>
        <v>44166.666666666679</v>
      </c>
      <c r="AU44" s="40">
        <f t="shared" si="58"/>
        <v>44166.666666666679</v>
      </c>
      <c r="AV44" s="40">
        <f t="shared" si="58"/>
        <v>44166.666666666679</v>
      </c>
      <c r="AW44" s="40">
        <f t="shared" si="58"/>
        <v>44166.666666666679</v>
      </c>
      <c r="AX44" s="40">
        <f t="shared" si="58"/>
        <v>44166.666666666679</v>
      </c>
      <c r="AY44" s="40">
        <f t="shared" si="58"/>
        <v>44166.666666666679</v>
      </c>
      <c r="AZ44" s="40">
        <f t="shared" si="58"/>
        <v>44166.666666666679</v>
      </c>
      <c r="BA44" s="40">
        <f t="shared" si="58"/>
        <v>45491.666666666679</v>
      </c>
      <c r="BB44" s="40">
        <f t="shared" si="58"/>
        <v>45491.666666666679</v>
      </c>
      <c r="BC44" s="40">
        <f t="shared" si="59"/>
        <v>45491.666666666679</v>
      </c>
      <c r="BD44" s="40">
        <f t="shared" si="59"/>
        <v>45491.666666666679</v>
      </c>
      <c r="BE44" s="40">
        <f t="shared" si="59"/>
        <v>45491.666666666679</v>
      </c>
      <c r="BF44" s="40">
        <f t="shared" si="59"/>
        <v>45491.666666666679</v>
      </c>
      <c r="BG44" s="40">
        <f t="shared" si="59"/>
        <v>45491.666666666679</v>
      </c>
      <c r="BH44" s="40">
        <f t="shared" si="59"/>
        <v>45491.666666666679</v>
      </c>
      <c r="BI44" s="40">
        <f t="shared" si="59"/>
        <v>45491.666666666679</v>
      </c>
      <c r="BJ44" s="40">
        <f t="shared" si="59"/>
        <v>45491.666666666679</v>
      </c>
      <c r="BK44" s="40">
        <f t="shared" si="59"/>
        <v>45491.666666666679</v>
      </c>
      <c r="BL44" s="40">
        <f t="shared" si="59"/>
        <v>45491.666666666679</v>
      </c>
      <c r="BM44" s="40">
        <f t="shared" si="60"/>
        <v>46856.416666666679</v>
      </c>
      <c r="BN44" s="40">
        <f t="shared" si="60"/>
        <v>46856.416666666679</v>
      </c>
      <c r="BO44" s="40">
        <f t="shared" si="60"/>
        <v>46856.416666666679</v>
      </c>
      <c r="BP44" s="40">
        <f t="shared" si="60"/>
        <v>46856.416666666679</v>
      </c>
      <c r="BQ44" s="40">
        <f t="shared" si="60"/>
        <v>46856.416666666679</v>
      </c>
      <c r="BR44" s="40">
        <f t="shared" si="60"/>
        <v>46856.416666666679</v>
      </c>
      <c r="BS44" s="40">
        <f t="shared" si="60"/>
        <v>46856.416666666679</v>
      </c>
      <c r="BT44" s="40">
        <f t="shared" si="60"/>
        <v>46856.416666666679</v>
      </c>
      <c r="BU44" s="40">
        <f t="shared" si="60"/>
        <v>46856.416666666679</v>
      </c>
      <c r="BV44" s="40">
        <f t="shared" si="60"/>
        <v>46856.416666666679</v>
      </c>
      <c r="BW44" s="40">
        <f t="shared" si="61"/>
        <v>46856.416666666679</v>
      </c>
      <c r="BX44" s="40">
        <f t="shared" si="61"/>
        <v>46856.416666666679</v>
      </c>
      <c r="BY44" s="40">
        <f t="shared" si="61"/>
        <v>48262.109166666683</v>
      </c>
      <c r="BZ44" s="40">
        <f t="shared" si="61"/>
        <v>48262.109166666683</v>
      </c>
      <c r="CA44" s="40">
        <f t="shared" si="61"/>
        <v>48262.109166666683</v>
      </c>
      <c r="CB44" s="40">
        <f t="shared" si="61"/>
        <v>48262.109166666683</v>
      </c>
      <c r="CC44" s="40">
        <f t="shared" si="61"/>
        <v>48262.109166666683</v>
      </c>
      <c r="CD44" s="40">
        <f t="shared" si="61"/>
        <v>48262.109166666683</v>
      </c>
      <c r="CE44" s="40">
        <f t="shared" si="61"/>
        <v>48262.109166666683</v>
      </c>
      <c r="CF44" s="40">
        <f t="shared" si="61"/>
        <v>48262.109166666683</v>
      </c>
      <c r="CG44" s="40">
        <f t="shared" si="62"/>
        <v>48262.109166666683</v>
      </c>
      <c r="CH44" s="40">
        <f t="shared" si="62"/>
        <v>48262.109166666683</v>
      </c>
      <c r="CI44" s="40">
        <f t="shared" si="62"/>
        <v>48262.109166666683</v>
      </c>
      <c r="CJ44" s="40">
        <f t="shared" si="62"/>
        <v>48262.109166666683</v>
      </c>
      <c r="CK44" s="40">
        <f t="shared" si="62"/>
        <v>49709.972441666672</v>
      </c>
      <c r="CL44" s="40">
        <f t="shared" si="62"/>
        <v>49709.972441666672</v>
      </c>
      <c r="CM44" s="40">
        <f t="shared" si="62"/>
        <v>49709.972441666672</v>
      </c>
      <c r="CN44" s="40">
        <f t="shared" si="62"/>
        <v>49709.972441666672</v>
      </c>
      <c r="CO44" s="40">
        <f t="shared" si="62"/>
        <v>49709.972441666672</v>
      </c>
      <c r="CP44" s="40">
        <f t="shared" si="62"/>
        <v>49709.972441666672</v>
      </c>
      <c r="CQ44" s="40">
        <f t="shared" si="63"/>
        <v>49709.972441666672</v>
      </c>
      <c r="CR44" s="40">
        <f t="shared" si="63"/>
        <v>49709.972441666672</v>
      </c>
      <c r="CS44" s="40">
        <f t="shared" si="63"/>
        <v>49709.972441666672</v>
      </c>
      <c r="CT44" s="40">
        <f t="shared" si="63"/>
        <v>49709.972441666672</v>
      </c>
      <c r="CU44" s="40">
        <f t="shared" si="63"/>
        <v>49709.972441666672</v>
      </c>
      <c r="CV44" s="40">
        <f t="shared" si="63"/>
        <v>49709.972441666672</v>
      </c>
      <c r="CW44" s="40">
        <f t="shared" si="63"/>
        <v>51201.271614916674</v>
      </c>
      <c r="CX44" s="40">
        <f t="shared" si="63"/>
        <v>51201.271614916674</v>
      </c>
      <c r="CY44" s="40">
        <f t="shared" si="63"/>
        <v>51201.271614916674</v>
      </c>
      <c r="CZ44" s="40">
        <f t="shared" si="63"/>
        <v>51201.271614916674</v>
      </c>
      <c r="DA44" s="40">
        <f t="shared" si="64"/>
        <v>51201.271614916674</v>
      </c>
      <c r="DB44" s="40">
        <f t="shared" si="64"/>
        <v>51201.271614916674</v>
      </c>
      <c r="DC44" s="40">
        <f t="shared" si="64"/>
        <v>51201.271614916674</v>
      </c>
      <c r="DD44" s="40">
        <f t="shared" si="64"/>
        <v>51201.271614916674</v>
      </c>
      <c r="DE44" s="40">
        <f t="shared" si="64"/>
        <v>51201.271614916674</v>
      </c>
      <c r="DF44" s="40">
        <f t="shared" si="64"/>
        <v>51201.271614916674</v>
      </c>
      <c r="DG44" s="40">
        <f t="shared" si="64"/>
        <v>51201.271614916674</v>
      </c>
      <c r="DH44" s="40">
        <f t="shared" si="64"/>
        <v>51201.271614916674</v>
      </c>
      <c r="DI44" s="40">
        <f t="shared" si="64"/>
        <v>52737.309763364174</v>
      </c>
      <c r="DJ44" s="40">
        <f t="shared" si="64"/>
        <v>52737.309763364174</v>
      </c>
      <c r="DK44" s="40">
        <f t="shared" si="65"/>
        <v>52737.309763364174</v>
      </c>
      <c r="DL44" s="40">
        <f t="shared" si="65"/>
        <v>52737.309763364174</v>
      </c>
      <c r="DM44" s="40">
        <f t="shared" si="65"/>
        <v>52737.309763364174</v>
      </c>
      <c r="DN44" s="40">
        <f t="shared" si="65"/>
        <v>52737.309763364174</v>
      </c>
      <c r="DO44" s="40">
        <f t="shared" si="65"/>
        <v>52737.309763364174</v>
      </c>
      <c r="DP44" s="40">
        <f t="shared" si="65"/>
        <v>52737.309763364174</v>
      </c>
      <c r="DQ44" s="40">
        <f t="shared" si="65"/>
        <v>52737.309763364174</v>
      </c>
      <c r="DR44" s="40">
        <f t="shared" si="65"/>
        <v>52737.309763364174</v>
      </c>
      <c r="DS44" s="40">
        <f t="shared" si="65"/>
        <v>52737.309763364174</v>
      </c>
      <c r="DT44" s="40">
        <f t="shared" si="65"/>
        <v>52737.309763364174</v>
      </c>
      <c r="DU44" s="40">
        <f t="shared" si="66"/>
        <v>54319.4290562651</v>
      </c>
      <c r="DV44" s="40">
        <f t="shared" si="66"/>
        <v>54319.4290562651</v>
      </c>
      <c r="DW44" s="40">
        <f t="shared" si="66"/>
        <v>54319.4290562651</v>
      </c>
      <c r="DX44" s="40">
        <f t="shared" si="66"/>
        <v>54319.4290562651</v>
      </c>
      <c r="DY44" s="40">
        <f t="shared" si="66"/>
        <v>54319.4290562651</v>
      </c>
      <c r="DZ44" s="40">
        <f t="shared" si="66"/>
        <v>54319.4290562651</v>
      </c>
      <c r="EA44" s="40">
        <f t="shared" si="66"/>
        <v>54319.4290562651</v>
      </c>
      <c r="EB44" s="40">
        <f t="shared" si="66"/>
        <v>54319.4290562651</v>
      </c>
      <c r="EC44" s="40">
        <f t="shared" si="66"/>
        <v>54319.4290562651</v>
      </c>
      <c r="ED44" s="40">
        <f t="shared" si="66"/>
        <v>54319.4290562651</v>
      </c>
      <c r="EE44" s="40">
        <f t="shared" si="67"/>
        <v>54319.4290562651</v>
      </c>
      <c r="EF44" s="40">
        <f t="shared" si="67"/>
        <v>54319.4290562651</v>
      </c>
      <c r="EG44" s="40">
        <f t="shared" si="67"/>
        <v>55949.011927953048</v>
      </c>
      <c r="EH44" s="40">
        <f t="shared" si="67"/>
        <v>55949.011927953048</v>
      </c>
      <c r="EI44" s="40">
        <f t="shared" si="67"/>
        <v>55949.011927953048</v>
      </c>
      <c r="EJ44" s="40">
        <f t="shared" si="67"/>
        <v>55949.011927953048</v>
      </c>
      <c r="EK44" s="40">
        <f t="shared" si="67"/>
        <v>55949.011927953048</v>
      </c>
      <c r="EL44" s="40">
        <f t="shared" si="67"/>
        <v>55949.011927953048</v>
      </c>
      <c r="EM44" s="40">
        <f t="shared" si="67"/>
        <v>55949.011927953048</v>
      </c>
      <c r="EN44" s="40">
        <f t="shared" si="67"/>
        <v>55949.011927953048</v>
      </c>
    </row>
    <row r="45" spans="2:144" x14ac:dyDescent="0.35">
      <c r="B45" s="37" t="s">
        <v>336</v>
      </c>
      <c r="C45" s="19" t="s">
        <v>337</v>
      </c>
      <c r="D45" s="20">
        <v>50000</v>
      </c>
      <c r="E45" s="18">
        <f t="shared" si="68"/>
        <v>4.1226912928759893E-2</v>
      </c>
      <c r="F45" s="38">
        <v>43313</v>
      </c>
      <c r="G45" s="38">
        <v>46905</v>
      </c>
      <c r="H45" s="32">
        <v>7.5</v>
      </c>
      <c r="I45" s="28">
        <f t="shared" si="69"/>
        <v>375000</v>
      </c>
      <c r="J45" s="26">
        <v>0.04</v>
      </c>
      <c r="K45" s="37" t="s">
        <v>266</v>
      </c>
      <c r="L45" s="32">
        <v>10</v>
      </c>
      <c r="M45" s="37" t="s">
        <v>267</v>
      </c>
      <c r="N45" s="39">
        <f t="shared" si="70"/>
        <v>-64</v>
      </c>
      <c r="O45" s="39">
        <f t="shared" si="71"/>
        <v>54</v>
      </c>
      <c r="P45" s="39">
        <f t="shared" si="72"/>
        <v>55</v>
      </c>
      <c r="Q45" s="39">
        <f t="shared" si="73"/>
        <v>3</v>
      </c>
      <c r="R45" s="39">
        <f t="shared" si="74"/>
        <v>58</v>
      </c>
      <c r="S45" s="39">
        <f t="shared" si="75"/>
        <v>1</v>
      </c>
      <c r="T45" s="39">
        <f t="shared" si="76"/>
        <v>59</v>
      </c>
      <c r="U45" s="39">
        <f t="shared" si="77"/>
        <v>5</v>
      </c>
      <c r="V45" s="39">
        <f t="shared" si="78"/>
        <v>118750</v>
      </c>
      <c r="W45" s="39">
        <f>IF(D45="",0,Retention_Ratio*LC_Ren*LeaseTermYrs*'Rent Roll'!D45*'Rent Roll'!X45+(1-Retention_Ratio)*LC_Ren*LeaseTermYrs*'Rent Roll'!D45*'Rent Roll'!X45)</f>
        <v>89854.547062499973</v>
      </c>
      <c r="X45" s="25">
        <f t="shared" si="79"/>
        <v>11.980606274999998</v>
      </c>
      <c r="Y45" s="40">
        <f t="shared" si="56"/>
        <v>31250</v>
      </c>
      <c r="Z45" s="40">
        <f t="shared" si="56"/>
        <v>31250</v>
      </c>
      <c r="AA45" s="40">
        <f t="shared" si="56"/>
        <v>31250</v>
      </c>
      <c r="AB45" s="40">
        <f t="shared" si="56"/>
        <v>31250</v>
      </c>
      <c r="AC45" s="40">
        <f t="shared" si="56"/>
        <v>31250</v>
      </c>
      <c r="AD45" s="40">
        <f t="shared" si="56"/>
        <v>31250</v>
      </c>
      <c r="AE45" s="40">
        <f t="shared" si="56"/>
        <v>31250</v>
      </c>
      <c r="AF45" s="40">
        <f t="shared" si="56"/>
        <v>31250</v>
      </c>
      <c r="AG45" s="40">
        <f t="shared" si="56"/>
        <v>31250</v>
      </c>
      <c r="AH45" s="40">
        <f t="shared" si="56"/>
        <v>31250</v>
      </c>
      <c r="AI45" s="40">
        <f t="shared" si="57"/>
        <v>31250</v>
      </c>
      <c r="AJ45" s="40">
        <f t="shared" si="57"/>
        <v>31250</v>
      </c>
      <c r="AK45" s="40">
        <f t="shared" si="57"/>
        <v>32500</v>
      </c>
      <c r="AL45" s="40">
        <f t="shared" si="57"/>
        <v>32500</v>
      </c>
      <c r="AM45" s="40">
        <f t="shared" si="57"/>
        <v>32500</v>
      </c>
      <c r="AN45" s="40">
        <f t="shared" si="57"/>
        <v>32500</v>
      </c>
      <c r="AO45" s="40">
        <f t="shared" si="57"/>
        <v>32500</v>
      </c>
      <c r="AP45" s="40">
        <f t="shared" si="57"/>
        <v>32500</v>
      </c>
      <c r="AQ45" s="40">
        <f t="shared" si="57"/>
        <v>32500</v>
      </c>
      <c r="AR45" s="40">
        <f t="shared" si="57"/>
        <v>32500</v>
      </c>
      <c r="AS45" s="40">
        <f t="shared" si="58"/>
        <v>32500</v>
      </c>
      <c r="AT45" s="40">
        <f t="shared" si="58"/>
        <v>32500</v>
      </c>
      <c r="AU45" s="40">
        <f t="shared" si="58"/>
        <v>32500</v>
      </c>
      <c r="AV45" s="40">
        <f t="shared" si="58"/>
        <v>32500</v>
      </c>
      <c r="AW45" s="40">
        <f t="shared" si="58"/>
        <v>33800.000000000007</v>
      </c>
      <c r="AX45" s="40">
        <f t="shared" si="58"/>
        <v>33800.000000000007</v>
      </c>
      <c r="AY45" s="40">
        <f t="shared" si="58"/>
        <v>33800.000000000007</v>
      </c>
      <c r="AZ45" s="40">
        <f t="shared" si="58"/>
        <v>33800.000000000007</v>
      </c>
      <c r="BA45" s="40">
        <f t="shared" si="58"/>
        <v>33800.000000000007</v>
      </c>
      <c r="BB45" s="40">
        <f t="shared" si="58"/>
        <v>33800.000000000007</v>
      </c>
      <c r="BC45" s="40">
        <f t="shared" si="59"/>
        <v>33800.000000000007</v>
      </c>
      <c r="BD45" s="40">
        <f t="shared" si="59"/>
        <v>33800.000000000007</v>
      </c>
      <c r="BE45" s="40">
        <f t="shared" si="59"/>
        <v>33800.000000000007</v>
      </c>
      <c r="BF45" s="40">
        <f t="shared" si="59"/>
        <v>33800.000000000007</v>
      </c>
      <c r="BG45" s="40">
        <f t="shared" si="59"/>
        <v>33800.000000000007</v>
      </c>
      <c r="BH45" s="40">
        <f t="shared" si="59"/>
        <v>33800.000000000007</v>
      </c>
      <c r="BI45" s="40">
        <f t="shared" si="59"/>
        <v>35152.000000000007</v>
      </c>
      <c r="BJ45" s="40">
        <f t="shared" si="59"/>
        <v>35152.000000000007</v>
      </c>
      <c r="BK45" s="40">
        <f t="shared" si="59"/>
        <v>35152.000000000007</v>
      </c>
      <c r="BL45" s="40">
        <f t="shared" si="59"/>
        <v>35152.000000000007</v>
      </c>
      <c r="BM45" s="40">
        <f t="shared" si="60"/>
        <v>35152.000000000007</v>
      </c>
      <c r="BN45" s="40">
        <f t="shared" si="60"/>
        <v>35152.000000000007</v>
      </c>
      <c r="BO45" s="40">
        <f t="shared" si="60"/>
        <v>35152.000000000007</v>
      </c>
      <c r="BP45" s="40">
        <f t="shared" si="60"/>
        <v>35152.000000000007</v>
      </c>
      <c r="BQ45" s="40">
        <f t="shared" si="60"/>
        <v>35152.000000000007</v>
      </c>
      <c r="BR45" s="40">
        <f t="shared" si="60"/>
        <v>35152.000000000007</v>
      </c>
      <c r="BS45" s="40">
        <f t="shared" si="60"/>
        <v>35152.000000000007</v>
      </c>
      <c r="BT45" s="40">
        <f t="shared" si="60"/>
        <v>35152.000000000007</v>
      </c>
      <c r="BU45" s="40">
        <f t="shared" si="60"/>
        <v>36558.080000000009</v>
      </c>
      <c r="BV45" s="40">
        <f t="shared" si="60"/>
        <v>36558.080000000009</v>
      </c>
      <c r="BW45" s="40">
        <f t="shared" si="61"/>
        <v>36558.080000000009</v>
      </c>
      <c r="BX45" s="40">
        <f t="shared" si="61"/>
        <v>36558.080000000009</v>
      </c>
      <c r="BY45" s="40">
        <f t="shared" si="61"/>
        <v>36558.080000000009</v>
      </c>
      <c r="BZ45" s="40">
        <f t="shared" si="61"/>
        <v>36558.080000000009</v>
      </c>
      <c r="CA45" s="40">
        <f t="shared" si="61"/>
        <v>0</v>
      </c>
      <c r="CB45" s="40">
        <f t="shared" si="61"/>
        <v>0</v>
      </c>
      <c r="CC45" s="40">
        <f t="shared" si="61"/>
        <v>0</v>
      </c>
      <c r="CD45" s="40">
        <f t="shared" si="61"/>
        <v>0</v>
      </c>
      <c r="CE45" s="40">
        <f t="shared" si="61"/>
        <v>49919.19281249999</v>
      </c>
      <c r="CF45" s="40">
        <f t="shared" si="61"/>
        <v>49919.19281249999</v>
      </c>
      <c r="CG45" s="40">
        <f t="shared" si="62"/>
        <v>49919.19281249999</v>
      </c>
      <c r="CH45" s="40">
        <f t="shared" si="62"/>
        <v>49919.19281249999</v>
      </c>
      <c r="CI45" s="40">
        <f t="shared" si="62"/>
        <v>49919.19281249999</v>
      </c>
      <c r="CJ45" s="40">
        <f t="shared" si="62"/>
        <v>49919.19281249999</v>
      </c>
      <c r="CK45" s="40">
        <f t="shared" si="62"/>
        <v>49919.19281249999</v>
      </c>
      <c r="CL45" s="40">
        <f t="shared" si="62"/>
        <v>49919.19281249999</v>
      </c>
      <c r="CM45" s="40">
        <f t="shared" si="62"/>
        <v>49919.19281249999</v>
      </c>
      <c r="CN45" s="40">
        <f t="shared" si="62"/>
        <v>49919.19281249999</v>
      </c>
      <c r="CO45" s="40">
        <f t="shared" si="62"/>
        <v>49919.19281249999</v>
      </c>
      <c r="CP45" s="40">
        <f t="shared" si="62"/>
        <v>51915.960524999995</v>
      </c>
      <c r="CQ45" s="40">
        <f t="shared" si="63"/>
        <v>51915.960524999995</v>
      </c>
      <c r="CR45" s="40">
        <f t="shared" si="63"/>
        <v>51915.960524999995</v>
      </c>
      <c r="CS45" s="40">
        <f t="shared" si="63"/>
        <v>51915.960524999995</v>
      </c>
      <c r="CT45" s="40">
        <f t="shared" si="63"/>
        <v>51915.960524999995</v>
      </c>
      <c r="CU45" s="40">
        <f t="shared" si="63"/>
        <v>51915.960524999995</v>
      </c>
      <c r="CV45" s="40">
        <f t="shared" si="63"/>
        <v>51915.960524999995</v>
      </c>
      <c r="CW45" s="40">
        <f t="shared" si="63"/>
        <v>51915.960524999995</v>
      </c>
      <c r="CX45" s="40">
        <f t="shared" si="63"/>
        <v>51915.960524999995</v>
      </c>
      <c r="CY45" s="40">
        <f t="shared" si="63"/>
        <v>51915.960524999995</v>
      </c>
      <c r="CZ45" s="40">
        <f t="shared" si="63"/>
        <v>51915.960524999995</v>
      </c>
      <c r="DA45" s="40">
        <f t="shared" si="64"/>
        <v>51915.960524999995</v>
      </c>
      <c r="DB45" s="40">
        <f t="shared" si="64"/>
        <v>53992.598945999991</v>
      </c>
      <c r="DC45" s="40">
        <f t="shared" si="64"/>
        <v>53992.598945999991</v>
      </c>
      <c r="DD45" s="40">
        <f t="shared" si="64"/>
        <v>53992.598945999991</v>
      </c>
      <c r="DE45" s="40">
        <f t="shared" si="64"/>
        <v>53992.598945999991</v>
      </c>
      <c r="DF45" s="40">
        <f t="shared" si="64"/>
        <v>53992.598945999991</v>
      </c>
      <c r="DG45" s="40">
        <f t="shared" si="64"/>
        <v>53992.598945999991</v>
      </c>
      <c r="DH45" s="40">
        <f t="shared" si="64"/>
        <v>53992.598945999991</v>
      </c>
      <c r="DI45" s="40">
        <f t="shared" si="64"/>
        <v>53992.598945999991</v>
      </c>
      <c r="DJ45" s="40">
        <f t="shared" si="64"/>
        <v>53992.598945999991</v>
      </c>
      <c r="DK45" s="40">
        <f t="shared" si="65"/>
        <v>53992.598945999991</v>
      </c>
      <c r="DL45" s="40">
        <f t="shared" si="65"/>
        <v>53992.598945999991</v>
      </c>
      <c r="DM45" s="40">
        <f t="shared" si="65"/>
        <v>53992.598945999991</v>
      </c>
      <c r="DN45" s="40">
        <f t="shared" si="65"/>
        <v>56152.302903839991</v>
      </c>
      <c r="DO45" s="40">
        <f t="shared" si="65"/>
        <v>56152.302903839991</v>
      </c>
      <c r="DP45" s="40">
        <f t="shared" si="65"/>
        <v>56152.302903839991</v>
      </c>
      <c r="DQ45" s="40">
        <f t="shared" si="65"/>
        <v>56152.302903839991</v>
      </c>
      <c r="DR45" s="40">
        <f t="shared" si="65"/>
        <v>56152.302903839991</v>
      </c>
      <c r="DS45" s="40">
        <f t="shared" si="65"/>
        <v>56152.302903839991</v>
      </c>
      <c r="DT45" s="40">
        <f t="shared" si="65"/>
        <v>56152.302903839991</v>
      </c>
      <c r="DU45" s="40">
        <f t="shared" si="66"/>
        <v>56152.302903839991</v>
      </c>
      <c r="DV45" s="40">
        <f t="shared" si="66"/>
        <v>56152.302903839991</v>
      </c>
      <c r="DW45" s="40">
        <f t="shared" si="66"/>
        <v>56152.302903839991</v>
      </c>
      <c r="DX45" s="40">
        <f t="shared" si="66"/>
        <v>56152.302903839991</v>
      </c>
      <c r="DY45" s="40">
        <f t="shared" si="66"/>
        <v>56152.302903839991</v>
      </c>
      <c r="DZ45" s="40">
        <f t="shared" si="66"/>
        <v>58398.395019993593</v>
      </c>
      <c r="EA45" s="40">
        <f t="shared" si="66"/>
        <v>58398.395019993593</v>
      </c>
      <c r="EB45" s="40">
        <f t="shared" si="66"/>
        <v>58398.395019993593</v>
      </c>
      <c r="EC45" s="40">
        <f t="shared" si="66"/>
        <v>58398.395019993593</v>
      </c>
      <c r="ED45" s="40">
        <f t="shared" si="66"/>
        <v>58398.395019993593</v>
      </c>
      <c r="EE45" s="40">
        <f t="shared" si="67"/>
        <v>58398.395019993593</v>
      </c>
      <c r="EF45" s="40">
        <f t="shared" si="67"/>
        <v>58398.395019993593</v>
      </c>
      <c r="EG45" s="40">
        <f t="shared" si="67"/>
        <v>58398.395019993593</v>
      </c>
      <c r="EH45" s="40">
        <f t="shared" si="67"/>
        <v>58398.395019993593</v>
      </c>
      <c r="EI45" s="40">
        <f t="shared" si="67"/>
        <v>58398.395019993593</v>
      </c>
      <c r="EJ45" s="40">
        <f t="shared" si="67"/>
        <v>58398.395019993593</v>
      </c>
      <c r="EK45" s="40">
        <f t="shared" si="67"/>
        <v>58398.395019993593</v>
      </c>
      <c r="EL45" s="40">
        <f t="shared" si="67"/>
        <v>60734.330820793344</v>
      </c>
      <c r="EM45" s="40">
        <f t="shared" si="67"/>
        <v>60734.330820793344</v>
      </c>
      <c r="EN45" s="40">
        <f t="shared" si="67"/>
        <v>60734.330820793344</v>
      </c>
    </row>
    <row r="46" spans="2:144" x14ac:dyDescent="0.35">
      <c r="B46" s="37" t="s">
        <v>338</v>
      </c>
      <c r="C46" s="19" t="s">
        <v>303</v>
      </c>
      <c r="D46" s="20">
        <v>95000</v>
      </c>
      <c r="E46" s="18">
        <f t="shared" si="68"/>
        <v>7.8331134564643801E-2</v>
      </c>
      <c r="F46" s="38">
        <v>41640</v>
      </c>
      <c r="G46" s="38">
        <v>45352</v>
      </c>
      <c r="H46" s="32">
        <v>3.88</v>
      </c>
      <c r="I46" s="28">
        <f t="shared" si="69"/>
        <v>368600</v>
      </c>
      <c r="J46" s="26">
        <v>0</v>
      </c>
      <c r="K46" s="37" t="s">
        <v>266</v>
      </c>
      <c r="L46" s="32">
        <v>8</v>
      </c>
      <c r="M46" s="37" t="s">
        <v>278</v>
      </c>
      <c r="N46" s="39">
        <f t="shared" si="70"/>
        <v>-119</v>
      </c>
      <c r="O46" s="39">
        <f t="shared" si="71"/>
        <v>3</v>
      </c>
      <c r="P46" s="39">
        <f t="shared" si="72"/>
        <v>4</v>
      </c>
      <c r="Q46" s="39">
        <f t="shared" si="73"/>
        <v>3</v>
      </c>
      <c r="R46" s="39">
        <f t="shared" si="74"/>
        <v>7</v>
      </c>
      <c r="S46" s="39">
        <f t="shared" si="75"/>
        <v>1</v>
      </c>
      <c r="T46" s="39">
        <f t="shared" si="76"/>
        <v>8</v>
      </c>
      <c r="U46" s="39">
        <f t="shared" si="77"/>
        <v>1</v>
      </c>
      <c r="V46" s="39">
        <f t="shared" si="78"/>
        <v>225625</v>
      </c>
      <c r="W46" s="39">
        <f>IF(D46="",0,Retention_Ratio*LC_Ren*LeaseTermYrs*'Rent Roll'!D46*'Rent Roll'!X46+(1-Retention_Ratio)*LC_Ren*LeaseTermYrs*'Rent Roll'!D46*'Rent Roll'!X46)</f>
        <v>113999.99999999999</v>
      </c>
      <c r="X46" s="25">
        <f t="shared" si="79"/>
        <v>8</v>
      </c>
      <c r="Y46" s="40">
        <f t="shared" si="56"/>
        <v>30716.666666666668</v>
      </c>
      <c r="Z46" s="40">
        <f t="shared" si="56"/>
        <v>30716.666666666668</v>
      </c>
      <c r="AA46" s="40">
        <f t="shared" si="56"/>
        <v>30716.666666666668</v>
      </c>
      <c r="AB46" s="40">
        <f t="shared" si="56"/>
        <v>0</v>
      </c>
      <c r="AC46" s="40">
        <f t="shared" si="56"/>
        <v>0</v>
      </c>
      <c r="AD46" s="40">
        <f t="shared" si="56"/>
        <v>0</v>
      </c>
      <c r="AE46" s="40">
        <f t="shared" si="56"/>
        <v>0</v>
      </c>
      <c r="AF46" s="40">
        <f t="shared" si="56"/>
        <v>63333.333333333336</v>
      </c>
      <c r="AG46" s="40">
        <f t="shared" si="56"/>
        <v>63333.333333333336</v>
      </c>
      <c r="AH46" s="40">
        <f t="shared" si="56"/>
        <v>63333.333333333336</v>
      </c>
      <c r="AI46" s="40">
        <f t="shared" si="57"/>
        <v>63333.333333333336</v>
      </c>
      <c r="AJ46" s="40">
        <f t="shared" si="57"/>
        <v>63333.333333333336</v>
      </c>
      <c r="AK46" s="40">
        <f t="shared" si="57"/>
        <v>63333.333333333336</v>
      </c>
      <c r="AL46" s="40">
        <f t="shared" si="57"/>
        <v>63333.333333333336</v>
      </c>
      <c r="AM46" s="40">
        <f t="shared" si="57"/>
        <v>63333.333333333336</v>
      </c>
      <c r="AN46" s="40">
        <f t="shared" si="57"/>
        <v>63333.333333333336</v>
      </c>
      <c r="AO46" s="40">
        <f t="shared" si="57"/>
        <v>63333.333333333336</v>
      </c>
      <c r="AP46" s="40">
        <f t="shared" si="57"/>
        <v>63333.333333333336</v>
      </c>
      <c r="AQ46" s="40">
        <f t="shared" si="57"/>
        <v>63333.333333333336</v>
      </c>
      <c r="AR46" s="40">
        <f t="shared" si="57"/>
        <v>63333.333333333336</v>
      </c>
      <c r="AS46" s="40">
        <f t="shared" si="58"/>
        <v>63333.333333333336</v>
      </c>
      <c r="AT46" s="40">
        <f t="shared" si="58"/>
        <v>63333.333333333336</v>
      </c>
      <c r="AU46" s="40">
        <f t="shared" si="58"/>
        <v>63333.333333333336</v>
      </c>
      <c r="AV46" s="40">
        <f t="shared" si="58"/>
        <v>63333.333333333336</v>
      </c>
      <c r="AW46" s="40">
        <f t="shared" si="58"/>
        <v>63333.333333333336</v>
      </c>
      <c r="AX46" s="40">
        <f t="shared" si="58"/>
        <v>63333.333333333336</v>
      </c>
      <c r="AY46" s="40">
        <f t="shared" si="58"/>
        <v>63333.333333333336</v>
      </c>
      <c r="AZ46" s="40">
        <f t="shared" si="58"/>
        <v>63333.333333333336</v>
      </c>
      <c r="BA46" s="40">
        <f t="shared" si="58"/>
        <v>63333.333333333336</v>
      </c>
      <c r="BB46" s="40">
        <f t="shared" si="58"/>
        <v>63333.333333333336</v>
      </c>
      <c r="BC46" s="40">
        <f t="shared" si="59"/>
        <v>63333.333333333336</v>
      </c>
      <c r="BD46" s="40">
        <f t="shared" si="59"/>
        <v>63333.333333333336</v>
      </c>
      <c r="BE46" s="40">
        <f t="shared" si="59"/>
        <v>63333.333333333336</v>
      </c>
      <c r="BF46" s="40">
        <f t="shared" si="59"/>
        <v>63333.333333333336</v>
      </c>
      <c r="BG46" s="40">
        <f t="shared" si="59"/>
        <v>63333.333333333336</v>
      </c>
      <c r="BH46" s="40">
        <f t="shared" si="59"/>
        <v>63333.333333333336</v>
      </c>
      <c r="BI46" s="40">
        <f t="shared" si="59"/>
        <v>63333.333333333336</v>
      </c>
      <c r="BJ46" s="40">
        <f t="shared" si="59"/>
        <v>63333.333333333336</v>
      </c>
      <c r="BK46" s="40">
        <f t="shared" si="59"/>
        <v>63333.333333333336</v>
      </c>
      <c r="BL46" s="40">
        <f t="shared" si="59"/>
        <v>63333.333333333336</v>
      </c>
      <c r="BM46" s="40">
        <f t="shared" si="60"/>
        <v>63333.333333333336</v>
      </c>
      <c r="BN46" s="40">
        <f t="shared" si="60"/>
        <v>63333.333333333336</v>
      </c>
      <c r="BO46" s="40">
        <f t="shared" si="60"/>
        <v>63333.333333333336</v>
      </c>
      <c r="BP46" s="40">
        <f t="shared" si="60"/>
        <v>63333.333333333336</v>
      </c>
      <c r="BQ46" s="40">
        <f t="shared" si="60"/>
        <v>63333.333333333336</v>
      </c>
      <c r="BR46" s="40">
        <f t="shared" si="60"/>
        <v>63333.333333333336</v>
      </c>
      <c r="BS46" s="40">
        <f t="shared" si="60"/>
        <v>63333.333333333336</v>
      </c>
      <c r="BT46" s="40">
        <f t="shared" si="60"/>
        <v>63333.333333333336</v>
      </c>
      <c r="BU46" s="40">
        <f t="shared" si="60"/>
        <v>63333.333333333336</v>
      </c>
      <c r="BV46" s="40">
        <f t="shared" si="60"/>
        <v>63333.333333333336</v>
      </c>
      <c r="BW46" s="40">
        <f t="shared" si="61"/>
        <v>63333.333333333336</v>
      </c>
      <c r="BX46" s="40">
        <f t="shared" si="61"/>
        <v>63333.333333333336</v>
      </c>
      <c r="BY46" s="40">
        <f t="shared" si="61"/>
        <v>63333.333333333336</v>
      </c>
      <c r="BZ46" s="40">
        <f t="shared" si="61"/>
        <v>63333.333333333336</v>
      </c>
      <c r="CA46" s="40">
        <f t="shared" si="61"/>
        <v>63333.333333333336</v>
      </c>
      <c r="CB46" s="40">
        <f t="shared" si="61"/>
        <v>63333.333333333336</v>
      </c>
      <c r="CC46" s="40">
        <f t="shared" si="61"/>
        <v>63333.333333333336</v>
      </c>
      <c r="CD46" s="40">
        <f t="shared" si="61"/>
        <v>63333.333333333336</v>
      </c>
      <c r="CE46" s="40">
        <f t="shared" si="61"/>
        <v>63333.333333333336</v>
      </c>
      <c r="CF46" s="40">
        <f t="shared" si="61"/>
        <v>63333.333333333336</v>
      </c>
      <c r="CG46" s="40">
        <f t="shared" si="62"/>
        <v>63333.333333333336</v>
      </c>
      <c r="CH46" s="40">
        <f t="shared" si="62"/>
        <v>63333.333333333336</v>
      </c>
      <c r="CI46" s="40">
        <f t="shared" si="62"/>
        <v>63333.333333333336</v>
      </c>
      <c r="CJ46" s="40">
        <f t="shared" si="62"/>
        <v>63333.333333333336</v>
      </c>
      <c r="CK46" s="40">
        <f t="shared" si="62"/>
        <v>63333.333333333336</v>
      </c>
      <c r="CL46" s="40">
        <f t="shared" si="62"/>
        <v>63333.333333333336</v>
      </c>
      <c r="CM46" s="40">
        <f t="shared" si="62"/>
        <v>63333.333333333336</v>
      </c>
      <c r="CN46" s="40">
        <f t="shared" si="62"/>
        <v>63333.333333333336</v>
      </c>
      <c r="CO46" s="40">
        <f t="shared" si="62"/>
        <v>63333.333333333336</v>
      </c>
      <c r="CP46" s="40">
        <f t="shared" si="62"/>
        <v>63333.333333333336</v>
      </c>
      <c r="CQ46" s="40">
        <f t="shared" si="63"/>
        <v>63333.333333333336</v>
      </c>
      <c r="CR46" s="40">
        <f t="shared" si="63"/>
        <v>63333.333333333336</v>
      </c>
      <c r="CS46" s="40">
        <f t="shared" si="63"/>
        <v>63333.333333333336</v>
      </c>
      <c r="CT46" s="40">
        <f t="shared" si="63"/>
        <v>63333.333333333336</v>
      </c>
      <c r="CU46" s="40">
        <f t="shared" si="63"/>
        <v>63333.333333333336</v>
      </c>
      <c r="CV46" s="40">
        <f t="shared" si="63"/>
        <v>63333.333333333336</v>
      </c>
      <c r="CW46" s="40">
        <f t="shared" si="63"/>
        <v>63333.333333333336</v>
      </c>
      <c r="CX46" s="40">
        <f t="shared" si="63"/>
        <v>63333.333333333336</v>
      </c>
      <c r="CY46" s="40">
        <f t="shared" si="63"/>
        <v>63333.333333333336</v>
      </c>
      <c r="CZ46" s="40">
        <f t="shared" si="63"/>
        <v>63333.333333333336</v>
      </c>
      <c r="DA46" s="40">
        <f t="shared" si="64"/>
        <v>63333.333333333336</v>
      </c>
      <c r="DB46" s="40">
        <f t="shared" si="64"/>
        <v>63333.333333333336</v>
      </c>
      <c r="DC46" s="40">
        <f t="shared" si="64"/>
        <v>63333.333333333336</v>
      </c>
      <c r="DD46" s="40">
        <f t="shared" si="64"/>
        <v>63333.333333333336</v>
      </c>
      <c r="DE46" s="40">
        <f t="shared" si="64"/>
        <v>63333.333333333336</v>
      </c>
      <c r="DF46" s="40">
        <f t="shared" si="64"/>
        <v>63333.333333333336</v>
      </c>
      <c r="DG46" s="40">
        <f t="shared" si="64"/>
        <v>63333.333333333336</v>
      </c>
      <c r="DH46" s="40">
        <f t="shared" si="64"/>
        <v>63333.333333333336</v>
      </c>
      <c r="DI46" s="40">
        <f t="shared" si="64"/>
        <v>63333.333333333336</v>
      </c>
      <c r="DJ46" s="40">
        <f t="shared" si="64"/>
        <v>63333.333333333336</v>
      </c>
      <c r="DK46" s="40">
        <f t="shared" si="65"/>
        <v>63333.333333333336</v>
      </c>
      <c r="DL46" s="40">
        <f t="shared" si="65"/>
        <v>63333.333333333336</v>
      </c>
      <c r="DM46" s="40">
        <f t="shared" si="65"/>
        <v>63333.333333333336</v>
      </c>
      <c r="DN46" s="40">
        <f t="shared" si="65"/>
        <v>63333.333333333336</v>
      </c>
      <c r="DO46" s="40">
        <f t="shared" si="65"/>
        <v>63333.333333333336</v>
      </c>
      <c r="DP46" s="40">
        <f t="shared" si="65"/>
        <v>63333.333333333336</v>
      </c>
      <c r="DQ46" s="40">
        <f t="shared" si="65"/>
        <v>63333.333333333336</v>
      </c>
      <c r="DR46" s="40">
        <f t="shared" si="65"/>
        <v>63333.333333333336</v>
      </c>
      <c r="DS46" s="40">
        <f t="shared" si="65"/>
        <v>63333.333333333336</v>
      </c>
      <c r="DT46" s="40">
        <f t="shared" si="65"/>
        <v>63333.333333333336</v>
      </c>
      <c r="DU46" s="40">
        <f t="shared" si="66"/>
        <v>63333.333333333336</v>
      </c>
      <c r="DV46" s="40">
        <f t="shared" si="66"/>
        <v>63333.333333333336</v>
      </c>
      <c r="DW46" s="40">
        <f t="shared" si="66"/>
        <v>63333.333333333336</v>
      </c>
      <c r="DX46" s="40">
        <f t="shared" si="66"/>
        <v>63333.333333333336</v>
      </c>
      <c r="DY46" s="40">
        <f t="shared" si="66"/>
        <v>63333.333333333336</v>
      </c>
      <c r="DZ46" s="40">
        <f t="shared" si="66"/>
        <v>63333.333333333336</v>
      </c>
      <c r="EA46" s="40">
        <f t="shared" si="66"/>
        <v>63333.333333333336</v>
      </c>
      <c r="EB46" s="40">
        <f t="shared" si="66"/>
        <v>63333.333333333336</v>
      </c>
      <c r="EC46" s="40">
        <f t="shared" si="66"/>
        <v>63333.333333333336</v>
      </c>
      <c r="ED46" s="40">
        <f t="shared" si="66"/>
        <v>63333.333333333336</v>
      </c>
      <c r="EE46" s="40">
        <f t="shared" si="67"/>
        <v>63333.333333333336</v>
      </c>
      <c r="EF46" s="40">
        <f t="shared" si="67"/>
        <v>63333.333333333336</v>
      </c>
      <c r="EG46" s="40">
        <f t="shared" si="67"/>
        <v>63333.333333333336</v>
      </c>
      <c r="EH46" s="40">
        <f t="shared" si="67"/>
        <v>63333.333333333336</v>
      </c>
      <c r="EI46" s="40">
        <f t="shared" si="67"/>
        <v>63333.333333333336</v>
      </c>
      <c r="EJ46" s="40">
        <f t="shared" si="67"/>
        <v>63333.333333333336</v>
      </c>
      <c r="EK46" s="40">
        <f t="shared" si="67"/>
        <v>63333.333333333336</v>
      </c>
      <c r="EL46" s="40">
        <f t="shared" si="67"/>
        <v>63333.333333333336</v>
      </c>
      <c r="EM46" s="40">
        <f t="shared" si="67"/>
        <v>63333.333333333336</v>
      </c>
      <c r="EN46" s="40">
        <f t="shared" si="67"/>
        <v>63333.333333333336</v>
      </c>
    </row>
    <row r="47" spans="2:144" x14ac:dyDescent="0.35">
      <c r="E47" s="18">
        <f t="shared" si="68"/>
        <v>0</v>
      </c>
      <c r="I47" s="28">
        <f t="shared" si="69"/>
        <v>0</v>
      </c>
      <c r="N47" s="39">
        <f t="shared" si="70"/>
        <v>0</v>
      </c>
      <c r="O47" s="39">
        <f t="shared" si="71"/>
        <v>0</v>
      </c>
      <c r="P47" s="39">
        <f t="shared" si="72"/>
        <v>0</v>
      </c>
      <c r="Q47" s="39">
        <f t="shared" si="73"/>
        <v>0</v>
      </c>
      <c r="R47" s="39">
        <f t="shared" si="74"/>
        <v>0</v>
      </c>
      <c r="S47" s="39">
        <f t="shared" si="75"/>
        <v>0</v>
      </c>
      <c r="T47" s="39">
        <f t="shared" si="76"/>
        <v>0</v>
      </c>
      <c r="U47" s="39">
        <f t="shared" si="77"/>
        <v>0</v>
      </c>
      <c r="V47" s="39">
        <f t="shared" si="78"/>
        <v>0</v>
      </c>
      <c r="W47" s="39">
        <f>IF(D47="",0,Retention_Ratio*LC_Ren*LeaseTermYrs*'Rent Roll'!D47*'Rent Roll'!X47+(1-Retention_Ratio)*LC_Ren*LeaseTermYrs*'Rent Roll'!D47*'Rent Roll'!X47)</f>
        <v>0</v>
      </c>
      <c r="X47" s="25">
        <f t="shared" si="79"/>
        <v>0</v>
      </c>
      <c r="Y47" s="40">
        <f t="shared" si="56"/>
        <v>0</v>
      </c>
      <c r="Z47" s="40">
        <f t="shared" si="56"/>
        <v>0</v>
      </c>
      <c r="AA47" s="40">
        <f t="shared" si="56"/>
        <v>0</v>
      </c>
      <c r="AB47" s="40">
        <f t="shared" si="56"/>
        <v>0</v>
      </c>
      <c r="AC47" s="40">
        <f t="shared" si="56"/>
        <v>0</v>
      </c>
      <c r="AD47" s="40">
        <f t="shared" si="56"/>
        <v>0</v>
      </c>
      <c r="AE47" s="40">
        <f t="shared" si="56"/>
        <v>0</v>
      </c>
      <c r="AF47" s="40">
        <f t="shared" si="56"/>
        <v>0</v>
      </c>
      <c r="AG47" s="40">
        <f t="shared" si="56"/>
        <v>0</v>
      </c>
      <c r="AH47" s="40">
        <f t="shared" si="56"/>
        <v>0</v>
      </c>
      <c r="AI47" s="40">
        <f t="shared" si="57"/>
        <v>0</v>
      </c>
      <c r="AJ47" s="40">
        <f t="shared" si="57"/>
        <v>0</v>
      </c>
      <c r="AK47" s="40">
        <f t="shared" si="57"/>
        <v>0</v>
      </c>
      <c r="AL47" s="40">
        <f t="shared" si="57"/>
        <v>0</v>
      </c>
      <c r="AM47" s="40">
        <f t="shared" si="57"/>
        <v>0</v>
      </c>
      <c r="AN47" s="40">
        <f t="shared" si="57"/>
        <v>0</v>
      </c>
      <c r="AO47" s="40">
        <f t="shared" si="57"/>
        <v>0</v>
      </c>
      <c r="AP47" s="40">
        <f t="shared" si="57"/>
        <v>0</v>
      </c>
      <c r="AQ47" s="40">
        <f t="shared" si="57"/>
        <v>0</v>
      </c>
      <c r="AR47" s="40">
        <f t="shared" si="57"/>
        <v>0</v>
      </c>
      <c r="AS47" s="40">
        <f t="shared" si="58"/>
        <v>0</v>
      </c>
      <c r="AT47" s="40">
        <f t="shared" si="58"/>
        <v>0</v>
      </c>
      <c r="AU47" s="40">
        <f t="shared" si="58"/>
        <v>0</v>
      </c>
      <c r="AV47" s="40">
        <f t="shared" si="58"/>
        <v>0</v>
      </c>
      <c r="AW47" s="40">
        <f t="shared" si="58"/>
        <v>0</v>
      </c>
      <c r="AX47" s="40">
        <f t="shared" si="58"/>
        <v>0</v>
      </c>
      <c r="AY47" s="40">
        <f t="shared" si="58"/>
        <v>0</v>
      </c>
      <c r="AZ47" s="40">
        <f t="shared" si="58"/>
        <v>0</v>
      </c>
      <c r="BA47" s="40">
        <f t="shared" si="58"/>
        <v>0</v>
      </c>
      <c r="BB47" s="40">
        <f t="shared" si="58"/>
        <v>0</v>
      </c>
      <c r="BC47" s="40">
        <f t="shared" si="59"/>
        <v>0</v>
      </c>
      <c r="BD47" s="40">
        <f t="shared" si="59"/>
        <v>0</v>
      </c>
      <c r="BE47" s="40">
        <f t="shared" si="59"/>
        <v>0</v>
      </c>
      <c r="BF47" s="40">
        <f t="shared" si="59"/>
        <v>0</v>
      </c>
      <c r="BG47" s="40">
        <f t="shared" si="59"/>
        <v>0</v>
      </c>
      <c r="BH47" s="40">
        <f t="shared" si="59"/>
        <v>0</v>
      </c>
      <c r="BI47" s="40">
        <f t="shared" si="59"/>
        <v>0</v>
      </c>
      <c r="BJ47" s="40">
        <f t="shared" si="59"/>
        <v>0</v>
      </c>
      <c r="BK47" s="40">
        <f t="shared" si="59"/>
        <v>0</v>
      </c>
      <c r="BL47" s="40">
        <f t="shared" si="59"/>
        <v>0</v>
      </c>
      <c r="BM47" s="40">
        <f t="shared" si="60"/>
        <v>0</v>
      </c>
      <c r="BN47" s="40">
        <f t="shared" si="60"/>
        <v>0</v>
      </c>
      <c r="BO47" s="40">
        <f t="shared" si="60"/>
        <v>0</v>
      </c>
      <c r="BP47" s="40">
        <f t="shared" si="60"/>
        <v>0</v>
      </c>
      <c r="BQ47" s="40">
        <f t="shared" si="60"/>
        <v>0</v>
      </c>
      <c r="BR47" s="40">
        <f t="shared" si="60"/>
        <v>0</v>
      </c>
      <c r="BS47" s="40">
        <f t="shared" si="60"/>
        <v>0</v>
      </c>
      <c r="BT47" s="40">
        <f t="shared" si="60"/>
        <v>0</v>
      </c>
      <c r="BU47" s="40">
        <f t="shared" si="60"/>
        <v>0</v>
      </c>
      <c r="BV47" s="40">
        <f t="shared" si="60"/>
        <v>0</v>
      </c>
      <c r="BW47" s="40">
        <f t="shared" si="61"/>
        <v>0</v>
      </c>
      <c r="BX47" s="40">
        <f t="shared" si="61"/>
        <v>0</v>
      </c>
      <c r="BY47" s="40">
        <f t="shared" si="61"/>
        <v>0</v>
      </c>
      <c r="BZ47" s="40">
        <f t="shared" si="61"/>
        <v>0</v>
      </c>
      <c r="CA47" s="40">
        <f t="shared" si="61"/>
        <v>0</v>
      </c>
      <c r="CB47" s="40">
        <f t="shared" si="61"/>
        <v>0</v>
      </c>
      <c r="CC47" s="40">
        <f t="shared" si="61"/>
        <v>0</v>
      </c>
      <c r="CD47" s="40">
        <f t="shared" si="61"/>
        <v>0</v>
      </c>
      <c r="CE47" s="40">
        <f t="shared" si="61"/>
        <v>0</v>
      </c>
      <c r="CF47" s="40">
        <f t="shared" si="61"/>
        <v>0</v>
      </c>
      <c r="CG47" s="40">
        <f t="shared" si="62"/>
        <v>0</v>
      </c>
      <c r="CH47" s="40">
        <f t="shared" si="62"/>
        <v>0</v>
      </c>
      <c r="CI47" s="40">
        <f t="shared" si="62"/>
        <v>0</v>
      </c>
      <c r="CJ47" s="40">
        <f t="shared" si="62"/>
        <v>0</v>
      </c>
      <c r="CK47" s="40">
        <f t="shared" si="62"/>
        <v>0</v>
      </c>
      <c r="CL47" s="40">
        <f t="shared" si="62"/>
        <v>0</v>
      </c>
      <c r="CM47" s="40">
        <f t="shared" si="62"/>
        <v>0</v>
      </c>
      <c r="CN47" s="40">
        <f t="shared" si="62"/>
        <v>0</v>
      </c>
      <c r="CO47" s="40">
        <f t="shared" si="62"/>
        <v>0</v>
      </c>
      <c r="CP47" s="40">
        <f t="shared" si="62"/>
        <v>0</v>
      </c>
      <c r="CQ47" s="40">
        <f t="shared" si="63"/>
        <v>0</v>
      </c>
      <c r="CR47" s="40">
        <f t="shared" si="63"/>
        <v>0</v>
      </c>
      <c r="CS47" s="40">
        <f t="shared" si="63"/>
        <v>0</v>
      </c>
      <c r="CT47" s="40">
        <f t="shared" si="63"/>
        <v>0</v>
      </c>
      <c r="CU47" s="40">
        <f t="shared" si="63"/>
        <v>0</v>
      </c>
      <c r="CV47" s="40">
        <f t="shared" si="63"/>
        <v>0</v>
      </c>
      <c r="CW47" s="40">
        <f t="shared" si="63"/>
        <v>0</v>
      </c>
      <c r="CX47" s="40">
        <f t="shared" si="63"/>
        <v>0</v>
      </c>
      <c r="CY47" s="40">
        <f t="shared" si="63"/>
        <v>0</v>
      </c>
      <c r="CZ47" s="40">
        <f t="shared" si="63"/>
        <v>0</v>
      </c>
      <c r="DA47" s="40">
        <f t="shared" si="64"/>
        <v>0</v>
      </c>
      <c r="DB47" s="40">
        <f t="shared" si="64"/>
        <v>0</v>
      </c>
      <c r="DC47" s="40">
        <f t="shared" si="64"/>
        <v>0</v>
      </c>
      <c r="DD47" s="40">
        <f t="shared" si="64"/>
        <v>0</v>
      </c>
      <c r="DE47" s="40">
        <f t="shared" si="64"/>
        <v>0</v>
      </c>
      <c r="DF47" s="40">
        <f t="shared" si="64"/>
        <v>0</v>
      </c>
      <c r="DG47" s="40">
        <f t="shared" si="64"/>
        <v>0</v>
      </c>
      <c r="DH47" s="40">
        <f t="shared" si="64"/>
        <v>0</v>
      </c>
      <c r="DI47" s="40">
        <f t="shared" si="64"/>
        <v>0</v>
      </c>
      <c r="DJ47" s="40">
        <f t="shared" si="64"/>
        <v>0</v>
      </c>
      <c r="DK47" s="40">
        <f t="shared" si="65"/>
        <v>0</v>
      </c>
      <c r="DL47" s="40">
        <f t="shared" si="65"/>
        <v>0</v>
      </c>
      <c r="DM47" s="40">
        <f t="shared" si="65"/>
        <v>0</v>
      </c>
      <c r="DN47" s="40">
        <f t="shared" si="65"/>
        <v>0</v>
      </c>
      <c r="DO47" s="40">
        <f t="shared" si="65"/>
        <v>0</v>
      </c>
      <c r="DP47" s="40">
        <f t="shared" si="65"/>
        <v>0</v>
      </c>
      <c r="DQ47" s="40">
        <f t="shared" si="65"/>
        <v>0</v>
      </c>
      <c r="DR47" s="40">
        <f t="shared" si="65"/>
        <v>0</v>
      </c>
      <c r="DS47" s="40">
        <f t="shared" si="65"/>
        <v>0</v>
      </c>
      <c r="DT47" s="40">
        <f t="shared" si="65"/>
        <v>0</v>
      </c>
      <c r="DU47" s="40">
        <f t="shared" si="66"/>
        <v>0</v>
      </c>
      <c r="DV47" s="40">
        <f t="shared" si="66"/>
        <v>0</v>
      </c>
      <c r="DW47" s="40">
        <f t="shared" si="66"/>
        <v>0</v>
      </c>
      <c r="DX47" s="40">
        <f t="shared" si="66"/>
        <v>0</v>
      </c>
      <c r="DY47" s="40">
        <f t="shared" si="66"/>
        <v>0</v>
      </c>
      <c r="DZ47" s="40">
        <f t="shared" si="66"/>
        <v>0</v>
      </c>
      <c r="EA47" s="40">
        <f t="shared" si="66"/>
        <v>0</v>
      </c>
      <c r="EB47" s="40">
        <f t="shared" si="66"/>
        <v>0</v>
      </c>
      <c r="EC47" s="40">
        <f t="shared" si="66"/>
        <v>0</v>
      </c>
      <c r="ED47" s="40">
        <f t="shared" si="66"/>
        <v>0</v>
      </c>
      <c r="EE47" s="40">
        <f t="shared" si="67"/>
        <v>0</v>
      </c>
      <c r="EF47" s="40">
        <f t="shared" si="67"/>
        <v>0</v>
      </c>
      <c r="EG47" s="40">
        <f t="shared" si="67"/>
        <v>0</v>
      </c>
      <c r="EH47" s="40">
        <f t="shared" si="67"/>
        <v>0</v>
      </c>
      <c r="EI47" s="40">
        <f t="shared" si="67"/>
        <v>0</v>
      </c>
      <c r="EJ47" s="40">
        <f t="shared" si="67"/>
        <v>0</v>
      </c>
      <c r="EK47" s="40">
        <f t="shared" si="67"/>
        <v>0</v>
      </c>
      <c r="EL47" s="40">
        <f t="shared" si="67"/>
        <v>0</v>
      </c>
      <c r="EM47" s="40">
        <f t="shared" si="67"/>
        <v>0</v>
      </c>
      <c r="EN47" s="40">
        <f t="shared" si="67"/>
        <v>0</v>
      </c>
    </row>
    <row r="48" spans="2:144" x14ac:dyDescent="0.35">
      <c r="E48" s="18">
        <f t="shared" si="68"/>
        <v>0</v>
      </c>
      <c r="I48" s="28">
        <f t="shared" si="69"/>
        <v>0</v>
      </c>
      <c r="N48" s="39">
        <f t="shared" si="70"/>
        <v>0</v>
      </c>
      <c r="O48" s="39">
        <f t="shared" si="71"/>
        <v>0</v>
      </c>
      <c r="P48" s="39">
        <f t="shared" si="72"/>
        <v>0</v>
      </c>
      <c r="Q48" s="39">
        <f t="shared" si="73"/>
        <v>0</v>
      </c>
      <c r="R48" s="39">
        <f t="shared" si="74"/>
        <v>0</v>
      </c>
      <c r="S48" s="39">
        <f t="shared" si="75"/>
        <v>0</v>
      </c>
      <c r="T48" s="39">
        <f t="shared" si="76"/>
        <v>0</v>
      </c>
      <c r="U48" s="39">
        <f t="shared" si="77"/>
        <v>0</v>
      </c>
      <c r="V48" s="39">
        <f t="shared" si="78"/>
        <v>0</v>
      </c>
      <c r="W48" s="39">
        <f>IF(D48="",0,Retention_Ratio*LC_Ren*LeaseTermYrs*'Rent Roll'!D48*'Rent Roll'!X48+(1-Retention_Ratio)*LC_Ren*LeaseTermYrs*'Rent Roll'!D48*'Rent Roll'!X48)</f>
        <v>0</v>
      </c>
      <c r="X48" s="25">
        <f t="shared" si="79"/>
        <v>0</v>
      </c>
      <c r="Y48" s="40">
        <f t="shared" si="56"/>
        <v>0</v>
      </c>
      <c r="Z48" s="40">
        <f t="shared" si="56"/>
        <v>0</v>
      </c>
      <c r="AA48" s="40">
        <f t="shared" si="56"/>
        <v>0</v>
      </c>
      <c r="AB48" s="40">
        <f t="shared" si="56"/>
        <v>0</v>
      </c>
      <c r="AC48" s="40">
        <f t="shared" si="56"/>
        <v>0</v>
      </c>
      <c r="AD48" s="40">
        <f t="shared" si="56"/>
        <v>0</v>
      </c>
      <c r="AE48" s="40">
        <f t="shared" si="56"/>
        <v>0</v>
      </c>
      <c r="AF48" s="40">
        <f t="shared" si="56"/>
        <v>0</v>
      </c>
      <c r="AG48" s="40">
        <f t="shared" si="56"/>
        <v>0</v>
      </c>
      <c r="AH48" s="40">
        <f t="shared" si="56"/>
        <v>0</v>
      </c>
      <c r="AI48" s="40">
        <f t="shared" si="57"/>
        <v>0</v>
      </c>
      <c r="AJ48" s="40">
        <f t="shared" si="57"/>
        <v>0</v>
      </c>
      <c r="AK48" s="40">
        <f t="shared" si="57"/>
        <v>0</v>
      </c>
      <c r="AL48" s="40">
        <f t="shared" si="57"/>
        <v>0</v>
      </c>
      <c r="AM48" s="40">
        <f t="shared" si="57"/>
        <v>0</v>
      </c>
      <c r="AN48" s="40">
        <f t="shared" si="57"/>
        <v>0</v>
      </c>
      <c r="AO48" s="40">
        <f t="shared" si="57"/>
        <v>0</v>
      </c>
      <c r="AP48" s="40">
        <f t="shared" si="57"/>
        <v>0</v>
      </c>
      <c r="AQ48" s="40">
        <f t="shared" si="57"/>
        <v>0</v>
      </c>
      <c r="AR48" s="40">
        <f t="shared" si="57"/>
        <v>0</v>
      </c>
      <c r="AS48" s="40">
        <f t="shared" si="58"/>
        <v>0</v>
      </c>
      <c r="AT48" s="40">
        <f t="shared" si="58"/>
        <v>0</v>
      </c>
      <c r="AU48" s="40">
        <f t="shared" si="58"/>
        <v>0</v>
      </c>
      <c r="AV48" s="40">
        <f t="shared" si="58"/>
        <v>0</v>
      </c>
      <c r="AW48" s="40">
        <f t="shared" si="58"/>
        <v>0</v>
      </c>
      <c r="AX48" s="40">
        <f t="shared" si="58"/>
        <v>0</v>
      </c>
      <c r="AY48" s="40">
        <f t="shared" si="58"/>
        <v>0</v>
      </c>
      <c r="AZ48" s="40">
        <f t="shared" si="58"/>
        <v>0</v>
      </c>
      <c r="BA48" s="40">
        <f t="shared" si="58"/>
        <v>0</v>
      </c>
      <c r="BB48" s="40">
        <f t="shared" si="58"/>
        <v>0</v>
      </c>
      <c r="BC48" s="40">
        <f t="shared" si="59"/>
        <v>0</v>
      </c>
      <c r="BD48" s="40">
        <f t="shared" si="59"/>
        <v>0</v>
      </c>
      <c r="BE48" s="40">
        <f t="shared" si="59"/>
        <v>0</v>
      </c>
      <c r="BF48" s="40">
        <f t="shared" si="59"/>
        <v>0</v>
      </c>
      <c r="BG48" s="40">
        <f t="shared" si="59"/>
        <v>0</v>
      </c>
      <c r="BH48" s="40">
        <f t="shared" si="59"/>
        <v>0</v>
      </c>
      <c r="BI48" s="40">
        <f t="shared" si="59"/>
        <v>0</v>
      </c>
      <c r="BJ48" s="40">
        <f t="shared" si="59"/>
        <v>0</v>
      </c>
      <c r="BK48" s="40">
        <f t="shared" si="59"/>
        <v>0</v>
      </c>
      <c r="BL48" s="40">
        <f t="shared" si="59"/>
        <v>0</v>
      </c>
      <c r="BM48" s="40">
        <f t="shared" si="60"/>
        <v>0</v>
      </c>
      <c r="BN48" s="40">
        <f t="shared" si="60"/>
        <v>0</v>
      </c>
      <c r="BO48" s="40">
        <f t="shared" si="60"/>
        <v>0</v>
      </c>
      <c r="BP48" s="40">
        <f t="shared" si="60"/>
        <v>0</v>
      </c>
      <c r="BQ48" s="40">
        <f t="shared" si="60"/>
        <v>0</v>
      </c>
      <c r="BR48" s="40">
        <f t="shared" si="60"/>
        <v>0</v>
      </c>
      <c r="BS48" s="40">
        <f t="shared" si="60"/>
        <v>0</v>
      </c>
      <c r="BT48" s="40">
        <f t="shared" si="60"/>
        <v>0</v>
      </c>
      <c r="BU48" s="40">
        <f t="shared" si="60"/>
        <v>0</v>
      </c>
      <c r="BV48" s="40">
        <f t="shared" si="60"/>
        <v>0</v>
      </c>
      <c r="BW48" s="40">
        <f t="shared" si="61"/>
        <v>0</v>
      </c>
      <c r="BX48" s="40">
        <f t="shared" si="61"/>
        <v>0</v>
      </c>
      <c r="BY48" s="40">
        <f t="shared" si="61"/>
        <v>0</v>
      </c>
      <c r="BZ48" s="40">
        <f t="shared" si="61"/>
        <v>0</v>
      </c>
      <c r="CA48" s="40">
        <f t="shared" si="61"/>
        <v>0</v>
      </c>
      <c r="CB48" s="40">
        <f t="shared" si="61"/>
        <v>0</v>
      </c>
      <c r="CC48" s="40">
        <f t="shared" si="61"/>
        <v>0</v>
      </c>
      <c r="CD48" s="40">
        <f t="shared" si="61"/>
        <v>0</v>
      </c>
      <c r="CE48" s="40">
        <f t="shared" si="61"/>
        <v>0</v>
      </c>
      <c r="CF48" s="40">
        <f t="shared" si="61"/>
        <v>0</v>
      </c>
      <c r="CG48" s="40">
        <f t="shared" si="62"/>
        <v>0</v>
      </c>
      <c r="CH48" s="40">
        <f t="shared" si="62"/>
        <v>0</v>
      </c>
      <c r="CI48" s="40">
        <f t="shared" si="62"/>
        <v>0</v>
      </c>
      <c r="CJ48" s="40">
        <f t="shared" si="62"/>
        <v>0</v>
      </c>
      <c r="CK48" s="40">
        <f t="shared" si="62"/>
        <v>0</v>
      </c>
      <c r="CL48" s="40">
        <f t="shared" si="62"/>
        <v>0</v>
      </c>
      <c r="CM48" s="40">
        <f t="shared" si="62"/>
        <v>0</v>
      </c>
      <c r="CN48" s="40">
        <f t="shared" si="62"/>
        <v>0</v>
      </c>
      <c r="CO48" s="40">
        <f t="shared" si="62"/>
        <v>0</v>
      </c>
      <c r="CP48" s="40">
        <f t="shared" si="62"/>
        <v>0</v>
      </c>
      <c r="CQ48" s="40">
        <f t="shared" si="63"/>
        <v>0</v>
      </c>
      <c r="CR48" s="40">
        <f t="shared" si="63"/>
        <v>0</v>
      </c>
      <c r="CS48" s="40">
        <f t="shared" si="63"/>
        <v>0</v>
      </c>
      <c r="CT48" s="40">
        <f t="shared" si="63"/>
        <v>0</v>
      </c>
      <c r="CU48" s="40">
        <f t="shared" si="63"/>
        <v>0</v>
      </c>
      <c r="CV48" s="40">
        <f t="shared" si="63"/>
        <v>0</v>
      </c>
      <c r="CW48" s="40">
        <f t="shared" si="63"/>
        <v>0</v>
      </c>
      <c r="CX48" s="40">
        <f t="shared" si="63"/>
        <v>0</v>
      </c>
      <c r="CY48" s="40">
        <f t="shared" si="63"/>
        <v>0</v>
      </c>
      <c r="CZ48" s="40">
        <f t="shared" si="63"/>
        <v>0</v>
      </c>
      <c r="DA48" s="40">
        <f t="shared" si="64"/>
        <v>0</v>
      </c>
      <c r="DB48" s="40">
        <f t="shared" si="64"/>
        <v>0</v>
      </c>
      <c r="DC48" s="40">
        <f t="shared" si="64"/>
        <v>0</v>
      </c>
      <c r="DD48" s="40">
        <f t="shared" si="64"/>
        <v>0</v>
      </c>
      <c r="DE48" s="40">
        <f t="shared" si="64"/>
        <v>0</v>
      </c>
      <c r="DF48" s="40">
        <f t="shared" si="64"/>
        <v>0</v>
      </c>
      <c r="DG48" s="40">
        <f t="shared" si="64"/>
        <v>0</v>
      </c>
      <c r="DH48" s="40">
        <f t="shared" si="64"/>
        <v>0</v>
      </c>
      <c r="DI48" s="40">
        <f t="shared" si="64"/>
        <v>0</v>
      </c>
      <c r="DJ48" s="40">
        <f t="shared" si="64"/>
        <v>0</v>
      </c>
      <c r="DK48" s="40">
        <f t="shared" si="65"/>
        <v>0</v>
      </c>
      <c r="DL48" s="40">
        <f t="shared" si="65"/>
        <v>0</v>
      </c>
      <c r="DM48" s="40">
        <f t="shared" si="65"/>
        <v>0</v>
      </c>
      <c r="DN48" s="40">
        <f t="shared" si="65"/>
        <v>0</v>
      </c>
      <c r="DO48" s="40">
        <f t="shared" si="65"/>
        <v>0</v>
      </c>
      <c r="DP48" s="40">
        <f t="shared" si="65"/>
        <v>0</v>
      </c>
      <c r="DQ48" s="40">
        <f t="shared" si="65"/>
        <v>0</v>
      </c>
      <c r="DR48" s="40">
        <f t="shared" si="65"/>
        <v>0</v>
      </c>
      <c r="DS48" s="40">
        <f t="shared" si="65"/>
        <v>0</v>
      </c>
      <c r="DT48" s="40">
        <f t="shared" si="65"/>
        <v>0</v>
      </c>
      <c r="DU48" s="40">
        <f t="shared" si="66"/>
        <v>0</v>
      </c>
      <c r="DV48" s="40">
        <f t="shared" si="66"/>
        <v>0</v>
      </c>
      <c r="DW48" s="40">
        <f t="shared" si="66"/>
        <v>0</v>
      </c>
      <c r="DX48" s="40">
        <f t="shared" si="66"/>
        <v>0</v>
      </c>
      <c r="DY48" s="40">
        <f t="shared" si="66"/>
        <v>0</v>
      </c>
      <c r="DZ48" s="40">
        <f t="shared" si="66"/>
        <v>0</v>
      </c>
      <c r="EA48" s="40">
        <f t="shared" si="66"/>
        <v>0</v>
      </c>
      <c r="EB48" s="40">
        <f t="shared" si="66"/>
        <v>0</v>
      </c>
      <c r="EC48" s="40">
        <f t="shared" si="66"/>
        <v>0</v>
      </c>
      <c r="ED48" s="40">
        <f t="shared" si="66"/>
        <v>0</v>
      </c>
      <c r="EE48" s="40">
        <f t="shared" si="67"/>
        <v>0</v>
      </c>
      <c r="EF48" s="40">
        <f t="shared" si="67"/>
        <v>0</v>
      </c>
      <c r="EG48" s="40">
        <f t="shared" si="67"/>
        <v>0</v>
      </c>
      <c r="EH48" s="40">
        <f t="shared" si="67"/>
        <v>0</v>
      </c>
      <c r="EI48" s="40">
        <f t="shared" si="67"/>
        <v>0</v>
      </c>
      <c r="EJ48" s="40">
        <f t="shared" si="67"/>
        <v>0</v>
      </c>
      <c r="EK48" s="40">
        <f t="shared" si="67"/>
        <v>0</v>
      </c>
      <c r="EL48" s="40">
        <f t="shared" si="67"/>
        <v>0</v>
      </c>
      <c r="EM48" s="40">
        <f t="shared" si="67"/>
        <v>0</v>
      </c>
      <c r="EN48" s="40">
        <f t="shared" si="67"/>
        <v>0</v>
      </c>
    </row>
    <row r="49" spans="2:144" x14ac:dyDescent="0.35">
      <c r="E49" s="18">
        <f t="shared" si="68"/>
        <v>0</v>
      </c>
      <c r="I49" s="28">
        <f t="shared" si="69"/>
        <v>0</v>
      </c>
      <c r="N49" s="39">
        <f t="shared" si="70"/>
        <v>0</v>
      </c>
      <c r="O49" s="39">
        <f t="shared" si="71"/>
        <v>0</v>
      </c>
      <c r="P49" s="39">
        <f t="shared" si="72"/>
        <v>0</v>
      </c>
      <c r="Q49" s="39">
        <f t="shared" si="73"/>
        <v>0</v>
      </c>
      <c r="R49" s="39">
        <f t="shared" si="74"/>
        <v>0</v>
      </c>
      <c r="S49" s="39">
        <f t="shared" si="75"/>
        <v>0</v>
      </c>
      <c r="T49" s="39">
        <f t="shared" si="76"/>
        <v>0</v>
      </c>
      <c r="U49" s="39">
        <f t="shared" si="77"/>
        <v>0</v>
      </c>
      <c r="V49" s="39">
        <f t="shared" si="78"/>
        <v>0</v>
      </c>
      <c r="W49" s="39">
        <f>IF(D49="",0,Retention_Ratio*LC_Ren*LeaseTermYrs*'Rent Roll'!D49*'Rent Roll'!X49+(1-Retention_Ratio)*LC_Ren*LeaseTermYrs*'Rent Roll'!D49*'Rent Roll'!X49)</f>
        <v>0</v>
      </c>
      <c r="X49" s="25">
        <f t="shared" si="79"/>
        <v>0</v>
      </c>
      <c r="Y49" s="40">
        <f t="shared" si="56"/>
        <v>0</v>
      </c>
      <c r="Z49" s="40">
        <f t="shared" si="56"/>
        <v>0</v>
      </c>
      <c r="AA49" s="40">
        <f t="shared" si="56"/>
        <v>0</v>
      </c>
      <c r="AB49" s="40">
        <f t="shared" si="56"/>
        <v>0</v>
      </c>
      <c r="AC49" s="40">
        <f t="shared" si="56"/>
        <v>0</v>
      </c>
      <c r="AD49" s="40">
        <f t="shared" si="56"/>
        <v>0</v>
      </c>
      <c r="AE49" s="40">
        <f t="shared" si="56"/>
        <v>0</v>
      </c>
      <c r="AF49" s="40">
        <f t="shared" si="56"/>
        <v>0</v>
      </c>
      <c r="AG49" s="40">
        <f t="shared" si="56"/>
        <v>0</v>
      </c>
      <c r="AH49" s="40">
        <f t="shared" si="56"/>
        <v>0</v>
      </c>
      <c r="AI49" s="40">
        <f t="shared" si="57"/>
        <v>0</v>
      </c>
      <c r="AJ49" s="40">
        <f t="shared" si="57"/>
        <v>0</v>
      </c>
      <c r="AK49" s="40">
        <f t="shared" si="57"/>
        <v>0</v>
      </c>
      <c r="AL49" s="40">
        <f t="shared" si="57"/>
        <v>0</v>
      </c>
      <c r="AM49" s="40">
        <f t="shared" si="57"/>
        <v>0</v>
      </c>
      <c r="AN49" s="40">
        <f t="shared" si="57"/>
        <v>0</v>
      </c>
      <c r="AO49" s="40">
        <f t="shared" si="57"/>
        <v>0</v>
      </c>
      <c r="AP49" s="40">
        <f t="shared" si="57"/>
        <v>0</v>
      </c>
      <c r="AQ49" s="40">
        <f t="shared" si="57"/>
        <v>0</v>
      </c>
      <c r="AR49" s="40">
        <f t="shared" si="57"/>
        <v>0</v>
      </c>
      <c r="AS49" s="40">
        <f t="shared" si="58"/>
        <v>0</v>
      </c>
      <c r="AT49" s="40">
        <f t="shared" si="58"/>
        <v>0</v>
      </c>
      <c r="AU49" s="40">
        <f t="shared" si="58"/>
        <v>0</v>
      </c>
      <c r="AV49" s="40">
        <f t="shared" si="58"/>
        <v>0</v>
      </c>
      <c r="AW49" s="40">
        <f t="shared" si="58"/>
        <v>0</v>
      </c>
      <c r="AX49" s="40">
        <f t="shared" si="58"/>
        <v>0</v>
      </c>
      <c r="AY49" s="40">
        <f t="shared" si="58"/>
        <v>0</v>
      </c>
      <c r="AZ49" s="40">
        <f t="shared" si="58"/>
        <v>0</v>
      </c>
      <c r="BA49" s="40">
        <f t="shared" si="58"/>
        <v>0</v>
      </c>
      <c r="BB49" s="40">
        <f t="shared" si="58"/>
        <v>0</v>
      </c>
      <c r="BC49" s="40">
        <f t="shared" si="59"/>
        <v>0</v>
      </c>
      <c r="BD49" s="40">
        <f t="shared" si="59"/>
        <v>0</v>
      </c>
      <c r="BE49" s="40">
        <f t="shared" si="59"/>
        <v>0</v>
      </c>
      <c r="BF49" s="40">
        <f t="shared" si="59"/>
        <v>0</v>
      </c>
      <c r="BG49" s="40">
        <f t="shared" si="59"/>
        <v>0</v>
      </c>
      <c r="BH49" s="40">
        <f t="shared" si="59"/>
        <v>0</v>
      </c>
      <c r="BI49" s="40">
        <f t="shared" si="59"/>
        <v>0</v>
      </c>
      <c r="BJ49" s="40">
        <f t="shared" si="59"/>
        <v>0</v>
      </c>
      <c r="BK49" s="40">
        <f t="shared" si="59"/>
        <v>0</v>
      </c>
      <c r="BL49" s="40">
        <f t="shared" si="59"/>
        <v>0</v>
      </c>
      <c r="BM49" s="40">
        <f t="shared" si="60"/>
        <v>0</v>
      </c>
      <c r="BN49" s="40">
        <f t="shared" si="60"/>
        <v>0</v>
      </c>
      <c r="BO49" s="40">
        <f t="shared" si="60"/>
        <v>0</v>
      </c>
      <c r="BP49" s="40">
        <f t="shared" si="60"/>
        <v>0</v>
      </c>
      <c r="BQ49" s="40">
        <f t="shared" si="60"/>
        <v>0</v>
      </c>
      <c r="BR49" s="40">
        <f t="shared" si="60"/>
        <v>0</v>
      </c>
      <c r="BS49" s="40">
        <f t="shared" si="60"/>
        <v>0</v>
      </c>
      <c r="BT49" s="40">
        <f t="shared" si="60"/>
        <v>0</v>
      </c>
      <c r="BU49" s="40">
        <f t="shared" si="60"/>
        <v>0</v>
      </c>
      <c r="BV49" s="40">
        <f t="shared" si="60"/>
        <v>0</v>
      </c>
      <c r="BW49" s="40">
        <f t="shared" si="61"/>
        <v>0</v>
      </c>
      <c r="BX49" s="40">
        <f t="shared" si="61"/>
        <v>0</v>
      </c>
      <c r="BY49" s="40">
        <f t="shared" si="61"/>
        <v>0</v>
      </c>
      <c r="BZ49" s="40">
        <f t="shared" si="61"/>
        <v>0</v>
      </c>
      <c r="CA49" s="40">
        <f t="shared" si="61"/>
        <v>0</v>
      </c>
      <c r="CB49" s="40">
        <f t="shared" si="61"/>
        <v>0</v>
      </c>
      <c r="CC49" s="40">
        <f t="shared" si="61"/>
        <v>0</v>
      </c>
      <c r="CD49" s="40">
        <f t="shared" si="61"/>
        <v>0</v>
      </c>
      <c r="CE49" s="40">
        <f t="shared" si="61"/>
        <v>0</v>
      </c>
      <c r="CF49" s="40">
        <f t="shared" si="61"/>
        <v>0</v>
      </c>
      <c r="CG49" s="40">
        <f t="shared" si="62"/>
        <v>0</v>
      </c>
      <c r="CH49" s="40">
        <f t="shared" si="62"/>
        <v>0</v>
      </c>
      <c r="CI49" s="40">
        <f t="shared" si="62"/>
        <v>0</v>
      </c>
      <c r="CJ49" s="40">
        <f t="shared" si="62"/>
        <v>0</v>
      </c>
      <c r="CK49" s="40">
        <f t="shared" si="62"/>
        <v>0</v>
      </c>
      <c r="CL49" s="40">
        <f t="shared" si="62"/>
        <v>0</v>
      </c>
      <c r="CM49" s="40">
        <f t="shared" si="62"/>
        <v>0</v>
      </c>
      <c r="CN49" s="40">
        <f t="shared" si="62"/>
        <v>0</v>
      </c>
      <c r="CO49" s="40">
        <f t="shared" si="62"/>
        <v>0</v>
      </c>
      <c r="CP49" s="40">
        <f t="shared" si="62"/>
        <v>0</v>
      </c>
      <c r="CQ49" s="40">
        <f t="shared" si="63"/>
        <v>0</v>
      </c>
      <c r="CR49" s="40">
        <f t="shared" si="63"/>
        <v>0</v>
      </c>
      <c r="CS49" s="40">
        <f t="shared" si="63"/>
        <v>0</v>
      </c>
      <c r="CT49" s="40">
        <f t="shared" si="63"/>
        <v>0</v>
      </c>
      <c r="CU49" s="40">
        <f t="shared" si="63"/>
        <v>0</v>
      </c>
      <c r="CV49" s="40">
        <f t="shared" si="63"/>
        <v>0</v>
      </c>
      <c r="CW49" s="40">
        <f t="shared" si="63"/>
        <v>0</v>
      </c>
      <c r="CX49" s="40">
        <f t="shared" si="63"/>
        <v>0</v>
      </c>
      <c r="CY49" s="40">
        <f t="shared" si="63"/>
        <v>0</v>
      </c>
      <c r="CZ49" s="40">
        <f t="shared" si="63"/>
        <v>0</v>
      </c>
      <c r="DA49" s="40">
        <f t="shared" si="64"/>
        <v>0</v>
      </c>
      <c r="DB49" s="40">
        <f t="shared" si="64"/>
        <v>0</v>
      </c>
      <c r="DC49" s="40">
        <f t="shared" si="64"/>
        <v>0</v>
      </c>
      <c r="DD49" s="40">
        <f t="shared" si="64"/>
        <v>0</v>
      </c>
      <c r="DE49" s="40">
        <f t="shared" si="64"/>
        <v>0</v>
      </c>
      <c r="DF49" s="40">
        <f t="shared" si="64"/>
        <v>0</v>
      </c>
      <c r="DG49" s="40">
        <f t="shared" si="64"/>
        <v>0</v>
      </c>
      <c r="DH49" s="40">
        <f t="shared" si="64"/>
        <v>0</v>
      </c>
      <c r="DI49" s="40">
        <f t="shared" si="64"/>
        <v>0</v>
      </c>
      <c r="DJ49" s="40">
        <f t="shared" si="64"/>
        <v>0</v>
      </c>
      <c r="DK49" s="40">
        <f t="shared" si="65"/>
        <v>0</v>
      </c>
      <c r="DL49" s="40">
        <f t="shared" si="65"/>
        <v>0</v>
      </c>
      <c r="DM49" s="40">
        <f t="shared" si="65"/>
        <v>0</v>
      </c>
      <c r="DN49" s="40">
        <f t="shared" si="65"/>
        <v>0</v>
      </c>
      <c r="DO49" s="40">
        <f t="shared" si="65"/>
        <v>0</v>
      </c>
      <c r="DP49" s="40">
        <f t="shared" si="65"/>
        <v>0</v>
      </c>
      <c r="DQ49" s="40">
        <f t="shared" si="65"/>
        <v>0</v>
      </c>
      <c r="DR49" s="40">
        <f t="shared" si="65"/>
        <v>0</v>
      </c>
      <c r="DS49" s="40">
        <f t="shared" si="65"/>
        <v>0</v>
      </c>
      <c r="DT49" s="40">
        <f t="shared" si="65"/>
        <v>0</v>
      </c>
      <c r="DU49" s="40">
        <f t="shared" si="66"/>
        <v>0</v>
      </c>
      <c r="DV49" s="40">
        <f t="shared" si="66"/>
        <v>0</v>
      </c>
      <c r="DW49" s="40">
        <f t="shared" si="66"/>
        <v>0</v>
      </c>
      <c r="DX49" s="40">
        <f t="shared" si="66"/>
        <v>0</v>
      </c>
      <c r="DY49" s="40">
        <f t="shared" si="66"/>
        <v>0</v>
      </c>
      <c r="DZ49" s="40">
        <f t="shared" si="66"/>
        <v>0</v>
      </c>
      <c r="EA49" s="40">
        <f t="shared" si="66"/>
        <v>0</v>
      </c>
      <c r="EB49" s="40">
        <f t="shared" si="66"/>
        <v>0</v>
      </c>
      <c r="EC49" s="40">
        <f t="shared" si="66"/>
        <v>0</v>
      </c>
      <c r="ED49" s="40">
        <f t="shared" si="66"/>
        <v>0</v>
      </c>
      <c r="EE49" s="40">
        <f t="shared" si="67"/>
        <v>0</v>
      </c>
      <c r="EF49" s="40">
        <f t="shared" si="67"/>
        <v>0</v>
      </c>
      <c r="EG49" s="40">
        <f t="shared" si="67"/>
        <v>0</v>
      </c>
      <c r="EH49" s="40">
        <f t="shared" si="67"/>
        <v>0</v>
      </c>
      <c r="EI49" s="40">
        <f t="shared" si="67"/>
        <v>0</v>
      </c>
      <c r="EJ49" s="40">
        <f t="shared" si="67"/>
        <v>0</v>
      </c>
      <c r="EK49" s="40">
        <f t="shared" si="67"/>
        <v>0</v>
      </c>
      <c r="EL49" s="40">
        <f t="shared" si="67"/>
        <v>0</v>
      </c>
      <c r="EM49" s="40">
        <f t="shared" si="67"/>
        <v>0</v>
      </c>
      <c r="EN49" s="40">
        <f t="shared" si="67"/>
        <v>0</v>
      </c>
    </row>
    <row r="50" spans="2:144" x14ac:dyDescent="0.35">
      <c r="E50" s="18">
        <f t="shared" si="68"/>
        <v>0</v>
      </c>
      <c r="I50" s="28">
        <f t="shared" si="69"/>
        <v>0</v>
      </c>
      <c r="N50" s="39">
        <f t="shared" si="70"/>
        <v>0</v>
      </c>
      <c r="O50" s="39">
        <f t="shared" si="71"/>
        <v>0</v>
      </c>
      <c r="P50" s="39">
        <f t="shared" si="72"/>
        <v>0</v>
      </c>
      <c r="Q50" s="39">
        <f t="shared" si="73"/>
        <v>0</v>
      </c>
      <c r="R50" s="39">
        <f t="shared" si="74"/>
        <v>0</v>
      </c>
      <c r="S50" s="39">
        <f t="shared" si="75"/>
        <v>0</v>
      </c>
      <c r="T50" s="39">
        <f t="shared" si="76"/>
        <v>0</v>
      </c>
      <c r="U50" s="39">
        <f t="shared" si="77"/>
        <v>0</v>
      </c>
      <c r="V50" s="39">
        <f t="shared" si="78"/>
        <v>0</v>
      </c>
      <c r="W50" s="39">
        <f>IF(D50="",0,Retention_Ratio*LC_Ren*LeaseTermYrs*'Rent Roll'!D50*'Rent Roll'!X50+(1-Retention_Ratio)*LC_Ren*LeaseTermYrs*'Rent Roll'!D50*'Rent Roll'!X50)</f>
        <v>0</v>
      </c>
      <c r="X50" s="25">
        <f t="shared" si="79"/>
        <v>0</v>
      </c>
      <c r="Y50" s="40">
        <f t="shared" ref="Y50:AH59" si="80">IF($D50="",0,IF(Y$5&lt;$N50,0,IF(Y$5&lt;=$O50,$D50*$H50*(1+$J50)^FLOOR((Y$5-1)/12,1)/12,IF(Y$5&lt;$T50,0,$D50*$X50*(1+$J50)^FLOOR((Y$5-$R50)/12,1)/12))))</f>
        <v>0</v>
      </c>
      <c r="Z50" s="40">
        <f t="shared" si="80"/>
        <v>0</v>
      </c>
      <c r="AA50" s="40">
        <f t="shared" si="80"/>
        <v>0</v>
      </c>
      <c r="AB50" s="40">
        <f t="shared" si="80"/>
        <v>0</v>
      </c>
      <c r="AC50" s="40">
        <f t="shared" si="80"/>
        <v>0</v>
      </c>
      <c r="AD50" s="40">
        <f t="shared" si="80"/>
        <v>0</v>
      </c>
      <c r="AE50" s="40">
        <f t="shared" si="80"/>
        <v>0</v>
      </c>
      <c r="AF50" s="40">
        <f t="shared" si="80"/>
        <v>0</v>
      </c>
      <c r="AG50" s="40">
        <f t="shared" si="80"/>
        <v>0</v>
      </c>
      <c r="AH50" s="40">
        <f t="shared" si="80"/>
        <v>0</v>
      </c>
      <c r="AI50" s="40">
        <f t="shared" ref="AI50:AR59" si="81">IF($D50="",0,IF(AI$5&lt;$N50,0,IF(AI$5&lt;=$O50,$D50*$H50*(1+$J50)^FLOOR((AI$5-1)/12,1)/12,IF(AI$5&lt;$T50,0,$D50*$X50*(1+$J50)^FLOOR((AI$5-$R50)/12,1)/12))))</f>
        <v>0</v>
      </c>
      <c r="AJ50" s="40">
        <f t="shared" si="81"/>
        <v>0</v>
      </c>
      <c r="AK50" s="40">
        <f t="shared" si="81"/>
        <v>0</v>
      </c>
      <c r="AL50" s="40">
        <f t="shared" si="81"/>
        <v>0</v>
      </c>
      <c r="AM50" s="40">
        <f t="shared" si="81"/>
        <v>0</v>
      </c>
      <c r="AN50" s="40">
        <f t="shared" si="81"/>
        <v>0</v>
      </c>
      <c r="AO50" s="40">
        <f t="shared" si="81"/>
        <v>0</v>
      </c>
      <c r="AP50" s="40">
        <f t="shared" si="81"/>
        <v>0</v>
      </c>
      <c r="AQ50" s="40">
        <f t="shared" si="81"/>
        <v>0</v>
      </c>
      <c r="AR50" s="40">
        <f t="shared" si="81"/>
        <v>0</v>
      </c>
      <c r="AS50" s="40">
        <f t="shared" ref="AS50:BB59" si="82">IF($D50="",0,IF(AS$5&lt;$N50,0,IF(AS$5&lt;=$O50,$D50*$H50*(1+$J50)^FLOOR((AS$5-1)/12,1)/12,IF(AS$5&lt;$T50,0,$D50*$X50*(1+$J50)^FLOOR((AS$5-$R50)/12,1)/12))))</f>
        <v>0</v>
      </c>
      <c r="AT50" s="40">
        <f t="shared" si="82"/>
        <v>0</v>
      </c>
      <c r="AU50" s="40">
        <f t="shared" si="82"/>
        <v>0</v>
      </c>
      <c r="AV50" s="40">
        <f t="shared" si="82"/>
        <v>0</v>
      </c>
      <c r="AW50" s="40">
        <f t="shared" si="82"/>
        <v>0</v>
      </c>
      <c r="AX50" s="40">
        <f t="shared" si="82"/>
        <v>0</v>
      </c>
      <c r="AY50" s="40">
        <f t="shared" si="82"/>
        <v>0</v>
      </c>
      <c r="AZ50" s="40">
        <f t="shared" si="82"/>
        <v>0</v>
      </c>
      <c r="BA50" s="40">
        <f t="shared" si="82"/>
        <v>0</v>
      </c>
      <c r="BB50" s="40">
        <f t="shared" si="82"/>
        <v>0</v>
      </c>
      <c r="BC50" s="40">
        <f t="shared" ref="BC50:BL59" si="83">IF($D50="",0,IF(BC$5&lt;$N50,0,IF(BC$5&lt;=$O50,$D50*$H50*(1+$J50)^FLOOR((BC$5-1)/12,1)/12,IF(BC$5&lt;$T50,0,$D50*$X50*(1+$J50)^FLOOR((BC$5-$R50)/12,1)/12))))</f>
        <v>0</v>
      </c>
      <c r="BD50" s="40">
        <f t="shared" si="83"/>
        <v>0</v>
      </c>
      <c r="BE50" s="40">
        <f t="shared" si="83"/>
        <v>0</v>
      </c>
      <c r="BF50" s="40">
        <f t="shared" si="83"/>
        <v>0</v>
      </c>
      <c r="BG50" s="40">
        <f t="shared" si="83"/>
        <v>0</v>
      </c>
      <c r="BH50" s="40">
        <f t="shared" si="83"/>
        <v>0</v>
      </c>
      <c r="BI50" s="40">
        <f t="shared" si="83"/>
        <v>0</v>
      </c>
      <c r="BJ50" s="40">
        <f t="shared" si="83"/>
        <v>0</v>
      </c>
      <c r="BK50" s="40">
        <f t="shared" si="83"/>
        <v>0</v>
      </c>
      <c r="BL50" s="40">
        <f t="shared" si="83"/>
        <v>0</v>
      </c>
      <c r="BM50" s="40">
        <f t="shared" ref="BM50:BV59" si="84">IF($D50="",0,IF(BM$5&lt;$N50,0,IF(BM$5&lt;=$O50,$D50*$H50*(1+$J50)^FLOOR((BM$5-1)/12,1)/12,IF(BM$5&lt;$T50,0,$D50*$X50*(1+$J50)^FLOOR((BM$5-$R50)/12,1)/12))))</f>
        <v>0</v>
      </c>
      <c r="BN50" s="40">
        <f t="shared" si="84"/>
        <v>0</v>
      </c>
      <c r="BO50" s="40">
        <f t="shared" si="84"/>
        <v>0</v>
      </c>
      <c r="BP50" s="40">
        <f t="shared" si="84"/>
        <v>0</v>
      </c>
      <c r="BQ50" s="40">
        <f t="shared" si="84"/>
        <v>0</v>
      </c>
      <c r="BR50" s="40">
        <f t="shared" si="84"/>
        <v>0</v>
      </c>
      <c r="BS50" s="40">
        <f t="shared" si="84"/>
        <v>0</v>
      </c>
      <c r="BT50" s="40">
        <f t="shared" si="84"/>
        <v>0</v>
      </c>
      <c r="BU50" s="40">
        <f t="shared" si="84"/>
        <v>0</v>
      </c>
      <c r="BV50" s="40">
        <f t="shared" si="84"/>
        <v>0</v>
      </c>
      <c r="BW50" s="40">
        <f t="shared" ref="BW50:CF59" si="85">IF($D50="",0,IF(BW$5&lt;$N50,0,IF(BW$5&lt;=$O50,$D50*$H50*(1+$J50)^FLOOR((BW$5-1)/12,1)/12,IF(BW$5&lt;$T50,0,$D50*$X50*(1+$J50)^FLOOR((BW$5-$R50)/12,1)/12))))</f>
        <v>0</v>
      </c>
      <c r="BX50" s="40">
        <f t="shared" si="85"/>
        <v>0</v>
      </c>
      <c r="BY50" s="40">
        <f t="shared" si="85"/>
        <v>0</v>
      </c>
      <c r="BZ50" s="40">
        <f t="shared" si="85"/>
        <v>0</v>
      </c>
      <c r="CA50" s="40">
        <f t="shared" si="85"/>
        <v>0</v>
      </c>
      <c r="CB50" s="40">
        <f t="shared" si="85"/>
        <v>0</v>
      </c>
      <c r="CC50" s="40">
        <f t="shared" si="85"/>
        <v>0</v>
      </c>
      <c r="CD50" s="40">
        <f t="shared" si="85"/>
        <v>0</v>
      </c>
      <c r="CE50" s="40">
        <f t="shared" si="85"/>
        <v>0</v>
      </c>
      <c r="CF50" s="40">
        <f t="shared" si="85"/>
        <v>0</v>
      </c>
      <c r="CG50" s="40">
        <f t="shared" ref="CG50:CP59" si="86">IF($D50="",0,IF(CG$5&lt;$N50,0,IF(CG$5&lt;=$O50,$D50*$H50*(1+$J50)^FLOOR((CG$5-1)/12,1)/12,IF(CG$5&lt;$T50,0,$D50*$X50*(1+$J50)^FLOOR((CG$5-$R50)/12,1)/12))))</f>
        <v>0</v>
      </c>
      <c r="CH50" s="40">
        <f t="shared" si="86"/>
        <v>0</v>
      </c>
      <c r="CI50" s="40">
        <f t="shared" si="86"/>
        <v>0</v>
      </c>
      <c r="CJ50" s="40">
        <f t="shared" si="86"/>
        <v>0</v>
      </c>
      <c r="CK50" s="40">
        <f t="shared" si="86"/>
        <v>0</v>
      </c>
      <c r="CL50" s="40">
        <f t="shared" si="86"/>
        <v>0</v>
      </c>
      <c r="CM50" s="40">
        <f t="shared" si="86"/>
        <v>0</v>
      </c>
      <c r="CN50" s="40">
        <f t="shared" si="86"/>
        <v>0</v>
      </c>
      <c r="CO50" s="40">
        <f t="shared" si="86"/>
        <v>0</v>
      </c>
      <c r="CP50" s="40">
        <f t="shared" si="86"/>
        <v>0</v>
      </c>
      <c r="CQ50" s="40">
        <f t="shared" ref="CQ50:CZ59" si="87">IF($D50="",0,IF(CQ$5&lt;$N50,0,IF(CQ$5&lt;=$O50,$D50*$H50*(1+$J50)^FLOOR((CQ$5-1)/12,1)/12,IF(CQ$5&lt;$T50,0,$D50*$X50*(1+$J50)^FLOOR((CQ$5-$R50)/12,1)/12))))</f>
        <v>0</v>
      </c>
      <c r="CR50" s="40">
        <f t="shared" si="87"/>
        <v>0</v>
      </c>
      <c r="CS50" s="40">
        <f t="shared" si="87"/>
        <v>0</v>
      </c>
      <c r="CT50" s="40">
        <f t="shared" si="87"/>
        <v>0</v>
      </c>
      <c r="CU50" s="40">
        <f t="shared" si="87"/>
        <v>0</v>
      </c>
      <c r="CV50" s="40">
        <f t="shared" si="87"/>
        <v>0</v>
      </c>
      <c r="CW50" s="40">
        <f t="shared" si="87"/>
        <v>0</v>
      </c>
      <c r="CX50" s="40">
        <f t="shared" si="87"/>
        <v>0</v>
      </c>
      <c r="CY50" s="40">
        <f t="shared" si="87"/>
        <v>0</v>
      </c>
      <c r="CZ50" s="40">
        <f t="shared" si="87"/>
        <v>0</v>
      </c>
      <c r="DA50" s="40">
        <f t="shared" ref="DA50:DJ59" si="88">IF($D50="",0,IF(DA$5&lt;$N50,0,IF(DA$5&lt;=$O50,$D50*$H50*(1+$J50)^FLOOR((DA$5-1)/12,1)/12,IF(DA$5&lt;$T50,0,$D50*$X50*(1+$J50)^FLOOR((DA$5-$R50)/12,1)/12))))</f>
        <v>0</v>
      </c>
      <c r="DB50" s="40">
        <f t="shared" si="88"/>
        <v>0</v>
      </c>
      <c r="DC50" s="40">
        <f t="shared" si="88"/>
        <v>0</v>
      </c>
      <c r="DD50" s="40">
        <f t="shared" si="88"/>
        <v>0</v>
      </c>
      <c r="DE50" s="40">
        <f t="shared" si="88"/>
        <v>0</v>
      </c>
      <c r="DF50" s="40">
        <f t="shared" si="88"/>
        <v>0</v>
      </c>
      <c r="DG50" s="40">
        <f t="shared" si="88"/>
        <v>0</v>
      </c>
      <c r="DH50" s="40">
        <f t="shared" si="88"/>
        <v>0</v>
      </c>
      <c r="DI50" s="40">
        <f t="shared" si="88"/>
        <v>0</v>
      </c>
      <c r="DJ50" s="40">
        <f t="shared" si="88"/>
        <v>0</v>
      </c>
      <c r="DK50" s="40">
        <f t="shared" ref="DK50:DT59" si="89">IF($D50="",0,IF(DK$5&lt;$N50,0,IF(DK$5&lt;=$O50,$D50*$H50*(1+$J50)^FLOOR((DK$5-1)/12,1)/12,IF(DK$5&lt;$T50,0,$D50*$X50*(1+$J50)^FLOOR((DK$5-$R50)/12,1)/12))))</f>
        <v>0</v>
      </c>
      <c r="DL50" s="40">
        <f t="shared" si="89"/>
        <v>0</v>
      </c>
      <c r="DM50" s="40">
        <f t="shared" si="89"/>
        <v>0</v>
      </c>
      <c r="DN50" s="40">
        <f t="shared" si="89"/>
        <v>0</v>
      </c>
      <c r="DO50" s="40">
        <f t="shared" si="89"/>
        <v>0</v>
      </c>
      <c r="DP50" s="40">
        <f t="shared" si="89"/>
        <v>0</v>
      </c>
      <c r="DQ50" s="40">
        <f t="shared" si="89"/>
        <v>0</v>
      </c>
      <c r="DR50" s="40">
        <f t="shared" si="89"/>
        <v>0</v>
      </c>
      <c r="DS50" s="40">
        <f t="shared" si="89"/>
        <v>0</v>
      </c>
      <c r="DT50" s="40">
        <f t="shared" si="89"/>
        <v>0</v>
      </c>
      <c r="DU50" s="40">
        <f t="shared" ref="DU50:ED59" si="90">IF($D50="",0,IF(DU$5&lt;$N50,0,IF(DU$5&lt;=$O50,$D50*$H50*(1+$J50)^FLOOR((DU$5-1)/12,1)/12,IF(DU$5&lt;$T50,0,$D50*$X50*(1+$J50)^FLOOR((DU$5-$R50)/12,1)/12))))</f>
        <v>0</v>
      </c>
      <c r="DV50" s="40">
        <f t="shared" si="90"/>
        <v>0</v>
      </c>
      <c r="DW50" s="40">
        <f t="shared" si="90"/>
        <v>0</v>
      </c>
      <c r="DX50" s="40">
        <f t="shared" si="90"/>
        <v>0</v>
      </c>
      <c r="DY50" s="40">
        <f t="shared" si="90"/>
        <v>0</v>
      </c>
      <c r="DZ50" s="40">
        <f t="shared" si="90"/>
        <v>0</v>
      </c>
      <c r="EA50" s="40">
        <f t="shared" si="90"/>
        <v>0</v>
      </c>
      <c r="EB50" s="40">
        <f t="shared" si="90"/>
        <v>0</v>
      </c>
      <c r="EC50" s="40">
        <f t="shared" si="90"/>
        <v>0</v>
      </c>
      <c r="ED50" s="40">
        <f t="shared" si="90"/>
        <v>0</v>
      </c>
      <c r="EE50" s="40">
        <f t="shared" ref="EE50:EN59" si="91">IF($D50="",0,IF(EE$5&lt;$N50,0,IF(EE$5&lt;=$O50,$D50*$H50*(1+$J50)^FLOOR((EE$5-1)/12,1)/12,IF(EE$5&lt;$T50,0,$D50*$X50*(1+$J50)^FLOOR((EE$5-$R50)/12,1)/12))))</f>
        <v>0</v>
      </c>
      <c r="EF50" s="40">
        <f t="shared" si="91"/>
        <v>0</v>
      </c>
      <c r="EG50" s="40">
        <f t="shared" si="91"/>
        <v>0</v>
      </c>
      <c r="EH50" s="40">
        <f t="shared" si="91"/>
        <v>0</v>
      </c>
      <c r="EI50" s="40">
        <f t="shared" si="91"/>
        <v>0</v>
      </c>
      <c r="EJ50" s="40">
        <f t="shared" si="91"/>
        <v>0</v>
      </c>
      <c r="EK50" s="40">
        <f t="shared" si="91"/>
        <v>0</v>
      </c>
      <c r="EL50" s="40">
        <f t="shared" si="91"/>
        <v>0</v>
      </c>
      <c r="EM50" s="40">
        <f t="shared" si="91"/>
        <v>0</v>
      </c>
      <c r="EN50" s="40">
        <f t="shared" si="91"/>
        <v>0</v>
      </c>
    </row>
    <row r="51" spans="2:144" x14ac:dyDescent="0.35">
      <c r="E51" s="18">
        <f t="shared" si="68"/>
        <v>0</v>
      </c>
      <c r="I51" s="28">
        <f t="shared" si="69"/>
        <v>0</v>
      </c>
      <c r="N51" s="39">
        <f t="shared" si="70"/>
        <v>0</v>
      </c>
      <c r="O51" s="39">
        <f t="shared" si="71"/>
        <v>0</v>
      </c>
      <c r="P51" s="39">
        <f t="shared" si="72"/>
        <v>0</v>
      </c>
      <c r="Q51" s="39">
        <f t="shared" si="73"/>
        <v>0</v>
      </c>
      <c r="R51" s="39">
        <f t="shared" si="74"/>
        <v>0</v>
      </c>
      <c r="S51" s="39">
        <f t="shared" si="75"/>
        <v>0</v>
      </c>
      <c r="T51" s="39">
        <f t="shared" si="76"/>
        <v>0</v>
      </c>
      <c r="U51" s="39">
        <f t="shared" si="77"/>
        <v>0</v>
      </c>
      <c r="V51" s="39">
        <f t="shared" si="78"/>
        <v>0</v>
      </c>
      <c r="W51" s="39">
        <f>IF(D51="",0,Retention_Ratio*LC_Ren*LeaseTermYrs*'Rent Roll'!D51*'Rent Roll'!X51+(1-Retention_Ratio)*LC_Ren*LeaseTermYrs*'Rent Roll'!D51*'Rent Roll'!X51)</f>
        <v>0</v>
      </c>
      <c r="X51" s="25">
        <f t="shared" si="79"/>
        <v>0</v>
      </c>
      <c r="Y51" s="40">
        <f t="shared" si="80"/>
        <v>0</v>
      </c>
      <c r="Z51" s="40">
        <f t="shared" si="80"/>
        <v>0</v>
      </c>
      <c r="AA51" s="40">
        <f t="shared" si="80"/>
        <v>0</v>
      </c>
      <c r="AB51" s="40">
        <f t="shared" si="80"/>
        <v>0</v>
      </c>
      <c r="AC51" s="40">
        <f t="shared" si="80"/>
        <v>0</v>
      </c>
      <c r="AD51" s="40">
        <f t="shared" si="80"/>
        <v>0</v>
      </c>
      <c r="AE51" s="40">
        <f t="shared" si="80"/>
        <v>0</v>
      </c>
      <c r="AF51" s="40">
        <f t="shared" si="80"/>
        <v>0</v>
      </c>
      <c r="AG51" s="40">
        <f t="shared" si="80"/>
        <v>0</v>
      </c>
      <c r="AH51" s="40">
        <f t="shared" si="80"/>
        <v>0</v>
      </c>
      <c r="AI51" s="40">
        <f t="shared" si="81"/>
        <v>0</v>
      </c>
      <c r="AJ51" s="40">
        <f t="shared" si="81"/>
        <v>0</v>
      </c>
      <c r="AK51" s="40">
        <f t="shared" si="81"/>
        <v>0</v>
      </c>
      <c r="AL51" s="40">
        <f t="shared" si="81"/>
        <v>0</v>
      </c>
      <c r="AM51" s="40">
        <f t="shared" si="81"/>
        <v>0</v>
      </c>
      <c r="AN51" s="40">
        <f t="shared" si="81"/>
        <v>0</v>
      </c>
      <c r="AO51" s="40">
        <f t="shared" si="81"/>
        <v>0</v>
      </c>
      <c r="AP51" s="40">
        <f t="shared" si="81"/>
        <v>0</v>
      </c>
      <c r="AQ51" s="40">
        <f t="shared" si="81"/>
        <v>0</v>
      </c>
      <c r="AR51" s="40">
        <f t="shared" si="81"/>
        <v>0</v>
      </c>
      <c r="AS51" s="40">
        <f t="shared" si="82"/>
        <v>0</v>
      </c>
      <c r="AT51" s="40">
        <f t="shared" si="82"/>
        <v>0</v>
      </c>
      <c r="AU51" s="40">
        <f t="shared" si="82"/>
        <v>0</v>
      </c>
      <c r="AV51" s="40">
        <f t="shared" si="82"/>
        <v>0</v>
      </c>
      <c r="AW51" s="40">
        <f t="shared" si="82"/>
        <v>0</v>
      </c>
      <c r="AX51" s="40">
        <f t="shared" si="82"/>
        <v>0</v>
      </c>
      <c r="AY51" s="40">
        <f t="shared" si="82"/>
        <v>0</v>
      </c>
      <c r="AZ51" s="40">
        <f t="shared" si="82"/>
        <v>0</v>
      </c>
      <c r="BA51" s="40">
        <f t="shared" si="82"/>
        <v>0</v>
      </c>
      <c r="BB51" s="40">
        <f t="shared" si="82"/>
        <v>0</v>
      </c>
      <c r="BC51" s="40">
        <f t="shared" si="83"/>
        <v>0</v>
      </c>
      <c r="BD51" s="40">
        <f t="shared" si="83"/>
        <v>0</v>
      </c>
      <c r="BE51" s="40">
        <f t="shared" si="83"/>
        <v>0</v>
      </c>
      <c r="BF51" s="40">
        <f t="shared" si="83"/>
        <v>0</v>
      </c>
      <c r="BG51" s="40">
        <f t="shared" si="83"/>
        <v>0</v>
      </c>
      <c r="BH51" s="40">
        <f t="shared" si="83"/>
        <v>0</v>
      </c>
      <c r="BI51" s="40">
        <f t="shared" si="83"/>
        <v>0</v>
      </c>
      <c r="BJ51" s="40">
        <f t="shared" si="83"/>
        <v>0</v>
      </c>
      <c r="BK51" s="40">
        <f t="shared" si="83"/>
        <v>0</v>
      </c>
      <c r="BL51" s="40">
        <f t="shared" si="83"/>
        <v>0</v>
      </c>
      <c r="BM51" s="40">
        <f t="shared" si="84"/>
        <v>0</v>
      </c>
      <c r="BN51" s="40">
        <f t="shared" si="84"/>
        <v>0</v>
      </c>
      <c r="BO51" s="40">
        <f t="shared" si="84"/>
        <v>0</v>
      </c>
      <c r="BP51" s="40">
        <f t="shared" si="84"/>
        <v>0</v>
      </c>
      <c r="BQ51" s="40">
        <f t="shared" si="84"/>
        <v>0</v>
      </c>
      <c r="BR51" s="40">
        <f t="shared" si="84"/>
        <v>0</v>
      </c>
      <c r="BS51" s="40">
        <f t="shared" si="84"/>
        <v>0</v>
      </c>
      <c r="BT51" s="40">
        <f t="shared" si="84"/>
        <v>0</v>
      </c>
      <c r="BU51" s="40">
        <f t="shared" si="84"/>
        <v>0</v>
      </c>
      <c r="BV51" s="40">
        <f t="shared" si="84"/>
        <v>0</v>
      </c>
      <c r="BW51" s="40">
        <f t="shared" si="85"/>
        <v>0</v>
      </c>
      <c r="BX51" s="40">
        <f t="shared" si="85"/>
        <v>0</v>
      </c>
      <c r="BY51" s="40">
        <f t="shared" si="85"/>
        <v>0</v>
      </c>
      <c r="BZ51" s="40">
        <f t="shared" si="85"/>
        <v>0</v>
      </c>
      <c r="CA51" s="40">
        <f t="shared" si="85"/>
        <v>0</v>
      </c>
      <c r="CB51" s="40">
        <f t="shared" si="85"/>
        <v>0</v>
      </c>
      <c r="CC51" s="40">
        <f t="shared" si="85"/>
        <v>0</v>
      </c>
      <c r="CD51" s="40">
        <f t="shared" si="85"/>
        <v>0</v>
      </c>
      <c r="CE51" s="40">
        <f t="shared" si="85"/>
        <v>0</v>
      </c>
      <c r="CF51" s="40">
        <f t="shared" si="85"/>
        <v>0</v>
      </c>
      <c r="CG51" s="40">
        <f t="shared" si="86"/>
        <v>0</v>
      </c>
      <c r="CH51" s="40">
        <f t="shared" si="86"/>
        <v>0</v>
      </c>
      <c r="CI51" s="40">
        <f t="shared" si="86"/>
        <v>0</v>
      </c>
      <c r="CJ51" s="40">
        <f t="shared" si="86"/>
        <v>0</v>
      </c>
      <c r="CK51" s="40">
        <f t="shared" si="86"/>
        <v>0</v>
      </c>
      <c r="CL51" s="40">
        <f t="shared" si="86"/>
        <v>0</v>
      </c>
      <c r="CM51" s="40">
        <f t="shared" si="86"/>
        <v>0</v>
      </c>
      <c r="CN51" s="40">
        <f t="shared" si="86"/>
        <v>0</v>
      </c>
      <c r="CO51" s="40">
        <f t="shared" si="86"/>
        <v>0</v>
      </c>
      <c r="CP51" s="40">
        <f t="shared" si="86"/>
        <v>0</v>
      </c>
      <c r="CQ51" s="40">
        <f t="shared" si="87"/>
        <v>0</v>
      </c>
      <c r="CR51" s="40">
        <f t="shared" si="87"/>
        <v>0</v>
      </c>
      <c r="CS51" s="40">
        <f t="shared" si="87"/>
        <v>0</v>
      </c>
      <c r="CT51" s="40">
        <f t="shared" si="87"/>
        <v>0</v>
      </c>
      <c r="CU51" s="40">
        <f t="shared" si="87"/>
        <v>0</v>
      </c>
      <c r="CV51" s="40">
        <f t="shared" si="87"/>
        <v>0</v>
      </c>
      <c r="CW51" s="40">
        <f t="shared" si="87"/>
        <v>0</v>
      </c>
      <c r="CX51" s="40">
        <f t="shared" si="87"/>
        <v>0</v>
      </c>
      <c r="CY51" s="40">
        <f t="shared" si="87"/>
        <v>0</v>
      </c>
      <c r="CZ51" s="40">
        <f t="shared" si="87"/>
        <v>0</v>
      </c>
      <c r="DA51" s="40">
        <f t="shared" si="88"/>
        <v>0</v>
      </c>
      <c r="DB51" s="40">
        <f t="shared" si="88"/>
        <v>0</v>
      </c>
      <c r="DC51" s="40">
        <f t="shared" si="88"/>
        <v>0</v>
      </c>
      <c r="DD51" s="40">
        <f t="shared" si="88"/>
        <v>0</v>
      </c>
      <c r="DE51" s="40">
        <f t="shared" si="88"/>
        <v>0</v>
      </c>
      <c r="DF51" s="40">
        <f t="shared" si="88"/>
        <v>0</v>
      </c>
      <c r="DG51" s="40">
        <f t="shared" si="88"/>
        <v>0</v>
      </c>
      <c r="DH51" s="40">
        <f t="shared" si="88"/>
        <v>0</v>
      </c>
      <c r="DI51" s="40">
        <f t="shared" si="88"/>
        <v>0</v>
      </c>
      <c r="DJ51" s="40">
        <f t="shared" si="88"/>
        <v>0</v>
      </c>
      <c r="DK51" s="40">
        <f t="shared" si="89"/>
        <v>0</v>
      </c>
      <c r="DL51" s="40">
        <f t="shared" si="89"/>
        <v>0</v>
      </c>
      <c r="DM51" s="40">
        <f t="shared" si="89"/>
        <v>0</v>
      </c>
      <c r="DN51" s="40">
        <f t="shared" si="89"/>
        <v>0</v>
      </c>
      <c r="DO51" s="40">
        <f t="shared" si="89"/>
        <v>0</v>
      </c>
      <c r="DP51" s="40">
        <f t="shared" si="89"/>
        <v>0</v>
      </c>
      <c r="DQ51" s="40">
        <f t="shared" si="89"/>
        <v>0</v>
      </c>
      <c r="DR51" s="40">
        <f t="shared" si="89"/>
        <v>0</v>
      </c>
      <c r="DS51" s="40">
        <f t="shared" si="89"/>
        <v>0</v>
      </c>
      <c r="DT51" s="40">
        <f t="shared" si="89"/>
        <v>0</v>
      </c>
      <c r="DU51" s="40">
        <f t="shared" si="90"/>
        <v>0</v>
      </c>
      <c r="DV51" s="40">
        <f t="shared" si="90"/>
        <v>0</v>
      </c>
      <c r="DW51" s="40">
        <f t="shared" si="90"/>
        <v>0</v>
      </c>
      <c r="DX51" s="40">
        <f t="shared" si="90"/>
        <v>0</v>
      </c>
      <c r="DY51" s="40">
        <f t="shared" si="90"/>
        <v>0</v>
      </c>
      <c r="DZ51" s="40">
        <f t="shared" si="90"/>
        <v>0</v>
      </c>
      <c r="EA51" s="40">
        <f t="shared" si="90"/>
        <v>0</v>
      </c>
      <c r="EB51" s="40">
        <f t="shared" si="90"/>
        <v>0</v>
      </c>
      <c r="EC51" s="40">
        <f t="shared" si="90"/>
        <v>0</v>
      </c>
      <c r="ED51" s="40">
        <f t="shared" si="90"/>
        <v>0</v>
      </c>
      <c r="EE51" s="40">
        <f t="shared" si="91"/>
        <v>0</v>
      </c>
      <c r="EF51" s="40">
        <f t="shared" si="91"/>
        <v>0</v>
      </c>
      <c r="EG51" s="40">
        <f t="shared" si="91"/>
        <v>0</v>
      </c>
      <c r="EH51" s="40">
        <f t="shared" si="91"/>
        <v>0</v>
      </c>
      <c r="EI51" s="40">
        <f t="shared" si="91"/>
        <v>0</v>
      </c>
      <c r="EJ51" s="40">
        <f t="shared" si="91"/>
        <v>0</v>
      </c>
      <c r="EK51" s="40">
        <f t="shared" si="91"/>
        <v>0</v>
      </c>
      <c r="EL51" s="40">
        <f t="shared" si="91"/>
        <v>0</v>
      </c>
      <c r="EM51" s="40">
        <f t="shared" si="91"/>
        <v>0</v>
      </c>
      <c r="EN51" s="40">
        <f t="shared" si="91"/>
        <v>0</v>
      </c>
    </row>
    <row r="52" spans="2:144" x14ac:dyDescent="0.35">
      <c r="E52" s="18">
        <f t="shared" si="68"/>
        <v>0</v>
      </c>
      <c r="I52" s="28">
        <f t="shared" si="69"/>
        <v>0</v>
      </c>
      <c r="N52" s="39">
        <f t="shared" si="70"/>
        <v>0</v>
      </c>
      <c r="O52" s="39">
        <f t="shared" si="71"/>
        <v>0</v>
      </c>
      <c r="P52" s="39">
        <f t="shared" si="72"/>
        <v>0</v>
      </c>
      <c r="Q52" s="39">
        <f t="shared" si="73"/>
        <v>0</v>
      </c>
      <c r="R52" s="39">
        <f t="shared" si="74"/>
        <v>0</v>
      </c>
      <c r="S52" s="39">
        <f t="shared" si="75"/>
        <v>0</v>
      </c>
      <c r="T52" s="39">
        <f t="shared" si="76"/>
        <v>0</v>
      </c>
      <c r="U52" s="39">
        <f t="shared" si="77"/>
        <v>0</v>
      </c>
      <c r="V52" s="39">
        <f t="shared" si="78"/>
        <v>0</v>
      </c>
      <c r="W52" s="39">
        <f>IF(D52="",0,Retention_Ratio*LC_Ren*LeaseTermYrs*'Rent Roll'!D52*'Rent Roll'!X52+(1-Retention_Ratio)*LC_Ren*LeaseTermYrs*'Rent Roll'!D52*'Rent Roll'!X52)</f>
        <v>0</v>
      </c>
      <c r="X52" s="25">
        <f t="shared" si="79"/>
        <v>0</v>
      </c>
      <c r="Y52" s="40">
        <f t="shared" si="80"/>
        <v>0</v>
      </c>
      <c r="Z52" s="40">
        <f t="shared" si="80"/>
        <v>0</v>
      </c>
      <c r="AA52" s="40">
        <f t="shared" si="80"/>
        <v>0</v>
      </c>
      <c r="AB52" s="40">
        <f t="shared" si="80"/>
        <v>0</v>
      </c>
      <c r="AC52" s="40">
        <f t="shared" si="80"/>
        <v>0</v>
      </c>
      <c r="AD52" s="40">
        <f t="shared" si="80"/>
        <v>0</v>
      </c>
      <c r="AE52" s="40">
        <f t="shared" si="80"/>
        <v>0</v>
      </c>
      <c r="AF52" s="40">
        <f t="shared" si="80"/>
        <v>0</v>
      </c>
      <c r="AG52" s="40">
        <f t="shared" si="80"/>
        <v>0</v>
      </c>
      <c r="AH52" s="40">
        <f t="shared" si="80"/>
        <v>0</v>
      </c>
      <c r="AI52" s="40">
        <f t="shared" si="81"/>
        <v>0</v>
      </c>
      <c r="AJ52" s="40">
        <f t="shared" si="81"/>
        <v>0</v>
      </c>
      <c r="AK52" s="40">
        <f t="shared" si="81"/>
        <v>0</v>
      </c>
      <c r="AL52" s="40">
        <f t="shared" si="81"/>
        <v>0</v>
      </c>
      <c r="AM52" s="40">
        <f t="shared" si="81"/>
        <v>0</v>
      </c>
      <c r="AN52" s="40">
        <f t="shared" si="81"/>
        <v>0</v>
      </c>
      <c r="AO52" s="40">
        <f t="shared" si="81"/>
        <v>0</v>
      </c>
      <c r="AP52" s="40">
        <f t="shared" si="81"/>
        <v>0</v>
      </c>
      <c r="AQ52" s="40">
        <f t="shared" si="81"/>
        <v>0</v>
      </c>
      <c r="AR52" s="40">
        <f t="shared" si="81"/>
        <v>0</v>
      </c>
      <c r="AS52" s="40">
        <f t="shared" si="82"/>
        <v>0</v>
      </c>
      <c r="AT52" s="40">
        <f t="shared" si="82"/>
        <v>0</v>
      </c>
      <c r="AU52" s="40">
        <f t="shared" si="82"/>
        <v>0</v>
      </c>
      <c r="AV52" s="40">
        <f t="shared" si="82"/>
        <v>0</v>
      </c>
      <c r="AW52" s="40">
        <f t="shared" si="82"/>
        <v>0</v>
      </c>
      <c r="AX52" s="40">
        <f t="shared" si="82"/>
        <v>0</v>
      </c>
      <c r="AY52" s="40">
        <f t="shared" si="82"/>
        <v>0</v>
      </c>
      <c r="AZ52" s="40">
        <f t="shared" si="82"/>
        <v>0</v>
      </c>
      <c r="BA52" s="40">
        <f t="shared" si="82"/>
        <v>0</v>
      </c>
      <c r="BB52" s="40">
        <f t="shared" si="82"/>
        <v>0</v>
      </c>
      <c r="BC52" s="40">
        <f t="shared" si="83"/>
        <v>0</v>
      </c>
      <c r="BD52" s="40">
        <f t="shared" si="83"/>
        <v>0</v>
      </c>
      <c r="BE52" s="40">
        <f t="shared" si="83"/>
        <v>0</v>
      </c>
      <c r="BF52" s="40">
        <f t="shared" si="83"/>
        <v>0</v>
      </c>
      <c r="BG52" s="40">
        <f t="shared" si="83"/>
        <v>0</v>
      </c>
      <c r="BH52" s="40">
        <f t="shared" si="83"/>
        <v>0</v>
      </c>
      <c r="BI52" s="40">
        <f t="shared" si="83"/>
        <v>0</v>
      </c>
      <c r="BJ52" s="40">
        <f t="shared" si="83"/>
        <v>0</v>
      </c>
      <c r="BK52" s="40">
        <f t="shared" si="83"/>
        <v>0</v>
      </c>
      <c r="BL52" s="40">
        <f t="shared" si="83"/>
        <v>0</v>
      </c>
      <c r="BM52" s="40">
        <f t="shared" si="84"/>
        <v>0</v>
      </c>
      <c r="BN52" s="40">
        <f t="shared" si="84"/>
        <v>0</v>
      </c>
      <c r="BO52" s="40">
        <f t="shared" si="84"/>
        <v>0</v>
      </c>
      <c r="BP52" s="40">
        <f t="shared" si="84"/>
        <v>0</v>
      </c>
      <c r="BQ52" s="40">
        <f t="shared" si="84"/>
        <v>0</v>
      </c>
      <c r="BR52" s="40">
        <f t="shared" si="84"/>
        <v>0</v>
      </c>
      <c r="BS52" s="40">
        <f t="shared" si="84"/>
        <v>0</v>
      </c>
      <c r="BT52" s="40">
        <f t="shared" si="84"/>
        <v>0</v>
      </c>
      <c r="BU52" s="40">
        <f t="shared" si="84"/>
        <v>0</v>
      </c>
      <c r="BV52" s="40">
        <f t="shared" si="84"/>
        <v>0</v>
      </c>
      <c r="BW52" s="40">
        <f t="shared" si="85"/>
        <v>0</v>
      </c>
      <c r="BX52" s="40">
        <f t="shared" si="85"/>
        <v>0</v>
      </c>
      <c r="BY52" s="40">
        <f t="shared" si="85"/>
        <v>0</v>
      </c>
      <c r="BZ52" s="40">
        <f t="shared" si="85"/>
        <v>0</v>
      </c>
      <c r="CA52" s="40">
        <f t="shared" si="85"/>
        <v>0</v>
      </c>
      <c r="CB52" s="40">
        <f t="shared" si="85"/>
        <v>0</v>
      </c>
      <c r="CC52" s="40">
        <f t="shared" si="85"/>
        <v>0</v>
      </c>
      <c r="CD52" s="40">
        <f t="shared" si="85"/>
        <v>0</v>
      </c>
      <c r="CE52" s="40">
        <f t="shared" si="85"/>
        <v>0</v>
      </c>
      <c r="CF52" s="40">
        <f t="shared" si="85"/>
        <v>0</v>
      </c>
      <c r="CG52" s="40">
        <f t="shared" si="86"/>
        <v>0</v>
      </c>
      <c r="CH52" s="40">
        <f t="shared" si="86"/>
        <v>0</v>
      </c>
      <c r="CI52" s="40">
        <f t="shared" si="86"/>
        <v>0</v>
      </c>
      <c r="CJ52" s="40">
        <f t="shared" si="86"/>
        <v>0</v>
      </c>
      <c r="CK52" s="40">
        <f t="shared" si="86"/>
        <v>0</v>
      </c>
      <c r="CL52" s="40">
        <f t="shared" si="86"/>
        <v>0</v>
      </c>
      <c r="CM52" s="40">
        <f t="shared" si="86"/>
        <v>0</v>
      </c>
      <c r="CN52" s="40">
        <f t="shared" si="86"/>
        <v>0</v>
      </c>
      <c r="CO52" s="40">
        <f t="shared" si="86"/>
        <v>0</v>
      </c>
      <c r="CP52" s="40">
        <f t="shared" si="86"/>
        <v>0</v>
      </c>
      <c r="CQ52" s="40">
        <f t="shared" si="87"/>
        <v>0</v>
      </c>
      <c r="CR52" s="40">
        <f t="shared" si="87"/>
        <v>0</v>
      </c>
      <c r="CS52" s="40">
        <f t="shared" si="87"/>
        <v>0</v>
      </c>
      <c r="CT52" s="40">
        <f t="shared" si="87"/>
        <v>0</v>
      </c>
      <c r="CU52" s="40">
        <f t="shared" si="87"/>
        <v>0</v>
      </c>
      <c r="CV52" s="40">
        <f t="shared" si="87"/>
        <v>0</v>
      </c>
      <c r="CW52" s="40">
        <f t="shared" si="87"/>
        <v>0</v>
      </c>
      <c r="CX52" s="40">
        <f t="shared" si="87"/>
        <v>0</v>
      </c>
      <c r="CY52" s="40">
        <f t="shared" si="87"/>
        <v>0</v>
      </c>
      <c r="CZ52" s="40">
        <f t="shared" si="87"/>
        <v>0</v>
      </c>
      <c r="DA52" s="40">
        <f t="shared" si="88"/>
        <v>0</v>
      </c>
      <c r="DB52" s="40">
        <f t="shared" si="88"/>
        <v>0</v>
      </c>
      <c r="DC52" s="40">
        <f t="shared" si="88"/>
        <v>0</v>
      </c>
      <c r="DD52" s="40">
        <f t="shared" si="88"/>
        <v>0</v>
      </c>
      <c r="DE52" s="40">
        <f t="shared" si="88"/>
        <v>0</v>
      </c>
      <c r="DF52" s="40">
        <f t="shared" si="88"/>
        <v>0</v>
      </c>
      <c r="DG52" s="40">
        <f t="shared" si="88"/>
        <v>0</v>
      </c>
      <c r="DH52" s="40">
        <f t="shared" si="88"/>
        <v>0</v>
      </c>
      <c r="DI52" s="40">
        <f t="shared" si="88"/>
        <v>0</v>
      </c>
      <c r="DJ52" s="40">
        <f t="shared" si="88"/>
        <v>0</v>
      </c>
      <c r="DK52" s="40">
        <f t="shared" si="89"/>
        <v>0</v>
      </c>
      <c r="DL52" s="40">
        <f t="shared" si="89"/>
        <v>0</v>
      </c>
      <c r="DM52" s="40">
        <f t="shared" si="89"/>
        <v>0</v>
      </c>
      <c r="DN52" s="40">
        <f t="shared" si="89"/>
        <v>0</v>
      </c>
      <c r="DO52" s="40">
        <f t="shared" si="89"/>
        <v>0</v>
      </c>
      <c r="DP52" s="40">
        <f t="shared" si="89"/>
        <v>0</v>
      </c>
      <c r="DQ52" s="40">
        <f t="shared" si="89"/>
        <v>0</v>
      </c>
      <c r="DR52" s="40">
        <f t="shared" si="89"/>
        <v>0</v>
      </c>
      <c r="DS52" s="40">
        <f t="shared" si="89"/>
        <v>0</v>
      </c>
      <c r="DT52" s="40">
        <f t="shared" si="89"/>
        <v>0</v>
      </c>
      <c r="DU52" s="40">
        <f t="shared" si="90"/>
        <v>0</v>
      </c>
      <c r="DV52" s="40">
        <f t="shared" si="90"/>
        <v>0</v>
      </c>
      <c r="DW52" s="40">
        <f t="shared" si="90"/>
        <v>0</v>
      </c>
      <c r="DX52" s="40">
        <f t="shared" si="90"/>
        <v>0</v>
      </c>
      <c r="DY52" s="40">
        <f t="shared" si="90"/>
        <v>0</v>
      </c>
      <c r="DZ52" s="40">
        <f t="shared" si="90"/>
        <v>0</v>
      </c>
      <c r="EA52" s="40">
        <f t="shared" si="90"/>
        <v>0</v>
      </c>
      <c r="EB52" s="40">
        <f t="shared" si="90"/>
        <v>0</v>
      </c>
      <c r="EC52" s="40">
        <f t="shared" si="90"/>
        <v>0</v>
      </c>
      <c r="ED52" s="40">
        <f t="shared" si="90"/>
        <v>0</v>
      </c>
      <c r="EE52" s="40">
        <f t="shared" si="91"/>
        <v>0</v>
      </c>
      <c r="EF52" s="40">
        <f t="shared" si="91"/>
        <v>0</v>
      </c>
      <c r="EG52" s="40">
        <f t="shared" si="91"/>
        <v>0</v>
      </c>
      <c r="EH52" s="40">
        <f t="shared" si="91"/>
        <v>0</v>
      </c>
      <c r="EI52" s="40">
        <f t="shared" si="91"/>
        <v>0</v>
      </c>
      <c r="EJ52" s="40">
        <f t="shared" si="91"/>
        <v>0</v>
      </c>
      <c r="EK52" s="40">
        <f t="shared" si="91"/>
        <v>0</v>
      </c>
      <c r="EL52" s="40">
        <f t="shared" si="91"/>
        <v>0</v>
      </c>
      <c r="EM52" s="40">
        <f t="shared" si="91"/>
        <v>0</v>
      </c>
      <c r="EN52" s="40">
        <f t="shared" si="91"/>
        <v>0</v>
      </c>
    </row>
    <row r="53" spans="2:144" x14ac:dyDescent="0.35">
      <c r="E53" s="18">
        <f t="shared" si="68"/>
        <v>0</v>
      </c>
      <c r="I53" s="28">
        <f t="shared" si="69"/>
        <v>0</v>
      </c>
      <c r="N53" s="39">
        <f t="shared" si="70"/>
        <v>0</v>
      </c>
      <c r="O53" s="39">
        <f t="shared" si="71"/>
        <v>0</v>
      </c>
      <c r="P53" s="39">
        <f t="shared" si="72"/>
        <v>0</v>
      </c>
      <c r="Q53" s="39">
        <f t="shared" si="73"/>
        <v>0</v>
      </c>
      <c r="R53" s="39">
        <f t="shared" si="74"/>
        <v>0</v>
      </c>
      <c r="S53" s="39">
        <f t="shared" si="75"/>
        <v>0</v>
      </c>
      <c r="T53" s="39">
        <f t="shared" si="76"/>
        <v>0</v>
      </c>
      <c r="U53" s="39">
        <f t="shared" si="77"/>
        <v>0</v>
      </c>
      <c r="V53" s="39">
        <f t="shared" si="78"/>
        <v>0</v>
      </c>
      <c r="W53" s="39">
        <f>IF(D53="",0,Retention_Ratio*LC_Ren*LeaseTermYrs*'Rent Roll'!D53*'Rent Roll'!X53+(1-Retention_Ratio)*LC_Ren*LeaseTermYrs*'Rent Roll'!D53*'Rent Roll'!X53)</f>
        <v>0</v>
      </c>
      <c r="X53" s="25">
        <f t="shared" si="79"/>
        <v>0</v>
      </c>
      <c r="Y53" s="40">
        <f t="shared" si="80"/>
        <v>0</v>
      </c>
      <c r="Z53" s="40">
        <f t="shared" si="80"/>
        <v>0</v>
      </c>
      <c r="AA53" s="40">
        <f t="shared" si="80"/>
        <v>0</v>
      </c>
      <c r="AB53" s="40">
        <f t="shared" si="80"/>
        <v>0</v>
      </c>
      <c r="AC53" s="40">
        <f t="shared" si="80"/>
        <v>0</v>
      </c>
      <c r="AD53" s="40">
        <f t="shared" si="80"/>
        <v>0</v>
      </c>
      <c r="AE53" s="40">
        <f t="shared" si="80"/>
        <v>0</v>
      </c>
      <c r="AF53" s="40">
        <f t="shared" si="80"/>
        <v>0</v>
      </c>
      <c r="AG53" s="40">
        <f t="shared" si="80"/>
        <v>0</v>
      </c>
      <c r="AH53" s="40">
        <f t="shared" si="80"/>
        <v>0</v>
      </c>
      <c r="AI53" s="40">
        <f t="shared" si="81"/>
        <v>0</v>
      </c>
      <c r="AJ53" s="40">
        <f t="shared" si="81"/>
        <v>0</v>
      </c>
      <c r="AK53" s="40">
        <f t="shared" si="81"/>
        <v>0</v>
      </c>
      <c r="AL53" s="40">
        <f t="shared" si="81"/>
        <v>0</v>
      </c>
      <c r="AM53" s="40">
        <f t="shared" si="81"/>
        <v>0</v>
      </c>
      <c r="AN53" s="40">
        <f t="shared" si="81"/>
        <v>0</v>
      </c>
      <c r="AO53" s="40">
        <f t="shared" si="81"/>
        <v>0</v>
      </c>
      <c r="AP53" s="40">
        <f t="shared" si="81"/>
        <v>0</v>
      </c>
      <c r="AQ53" s="40">
        <f t="shared" si="81"/>
        <v>0</v>
      </c>
      <c r="AR53" s="40">
        <f t="shared" si="81"/>
        <v>0</v>
      </c>
      <c r="AS53" s="40">
        <f t="shared" si="82"/>
        <v>0</v>
      </c>
      <c r="AT53" s="40">
        <f t="shared" si="82"/>
        <v>0</v>
      </c>
      <c r="AU53" s="40">
        <f t="shared" si="82"/>
        <v>0</v>
      </c>
      <c r="AV53" s="40">
        <f t="shared" si="82"/>
        <v>0</v>
      </c>
      <c r="AW53" s="40">
        <f t="shared" si="82"/>
        <v>0</v>
      </c>
      <c r="AX53" s="40">
        <f t="shared" si="82"/>
        <v>0</v>
      </c>
      <c r="AY53" s="40">
        <f t="shared" si="82"/>
        <v>0</v>
      </c>
      <c r="AZ53" s="40">
        <f t="shared" si="82"/>
        <v>0</v>
      </c>
      <c r="BA53" s="40">
        <f t="shared" si="82"/>
        <v>0</v>
      </c>
      <c r="BB53" s="40">
        <f t="shared" si="82"/>
        <v>0</v>
      </c>
      <c r="BC53" s="40">
        <f t="shared" si="83"/>
        <v>0</v>
      </c>
      <c r="BD53" s="40">
        <f t="shared" si="83"/>
        <v>0</v>
      </c>
      <c r="BE53" s="40">
        <f t="shared" si="83"/>
        <v>0</v>
      </c>
      <c r="BF53" s="40">
        <f t="shared" si="83"/>
        <v>0</v>
      </c>
      <c r="BG53" s="40">
        <f t="shared" si="83"/>
        <v>0</v>
      </c>
      <c r="BH53" s="40">
        <f t="shared" si="83"/>
        <v>0</v>
      </c>
      <c r="BI53" s="40">
        <f t="shared" si="83"/>
        <v>0</v>
      </c>
      <c r="BJ53" s="40">
        <f t="shared" si="83"/>
        <v>0</v>
      </c>
      <c r="BK53" s="40">
        <f t="shared" si="83"/>
        <v>0</v>
      </c>
      <c r="BL53" s="40">
        <f t="shared" si="83"/>
        <v>0</v>
      </c>
      <c r="BM53" s="40">
        <f t="shared" si="84"/>
        <v>0</v>
      </c>
      <c r="BN53" s="40">
        <f t="shared" si="84"/>
        <v>0</v>
      </c>
      <c r="BO53" s="40">
        <f t="shared" si="84"/>
        <v>0</v>
      </c>
      <c r="BP53" s="40">
        <f t="shared" si="84"/>
        <v>0</v>
      </c>
      <c r="BQ53" s="40">
        <f t="shared" si="84"/>
        <v>0</v>
      </c>
      <c r="BR53" s="40">
        <f t="shared" si="84"/>
        <v>0</v>
      </c>
      <c r="BS53" s="40">
        <f t="shared" si="84"/>
        <v>0</v>
      </c>
      <c r="BT53" s="40">
        <f t="shared" si="84"/>
        <v>0</v>
      </c>
      <c r="BU53" s="40">
        <f t="shared" si="84"/>
        <v>0</v>
      </c>
      <c r="BV53" s="40">
        <f t="shared" si="84"/>
        <v>0</v>
      </c>
      <c r="BW53" s="40">
        <f t="shared" si="85"/>
        <v>0</v>
      </c>
      <c r="BX53" s="40">
        <f t="shared" si="85"/>
        <v>0</v>
      </c>
      <c r="BY53" s="40">
        <f t="shared" si="85"/>
        <v>0</v>
      </c>
      <c r="BZ53" s="40">
        <f t="shared" si="85"/>
        <v>0</v>
      </c>
      <c r="CA53" s="40">
        <f t="shared" si="85"/>
        <v>0</v>
      </c>
      <c r="CB53" s="40">
        <f t="shared" si="85"/>
        <v>0</v>
      </c>
      <c r="CC53" s="40">
        <f t="shared" si="85"/>
        <v>0</v>
      </c>
      <c r="CD53" s="40">
        <f t="shared" si="85"/>
        <v>0</v>
      </c>
      <c r="CE53" s="40">
        <f t="shared" si="85"/>
        <v>0</v>
      </c>
      <c r="CF53" s="40">
        <f t="shared" si="85"/>
        <v>0</v>
      </c>
      <c r="CG53" s="40">
        <f t="shared" si="86"/>
        <v>0</v>
      </c>
      <c r="CH53" s="40">
        <f t="shared" si="86"/>
        <v>0</v>
      </c>
      <c r="CI53" s="40">
        <f t="shared" si="86"/>
        <v>0</v>
      </c>
      <c r="CJ53" s="40">
        <f t="shared" si="86"/>
        <v>0</v>
      </c>
      <c r="CK53" s="40">
        <f t="shared" si="86"/>
        <v>0</v>
      </c>
      <c r="CL53" s="40">
        <f t="shared" si="86"/>
        <v>0</v>
      </c>
      <c r="CM53" s="40">
        <f t="shared" si="86"/>
        <v>0</v>
      </c>
      <c r="CN53" s="40">
        <f t="shared" si="86"/>
        <v>0</v>
      </c>
      <c r="CO53" s="40">
        <f t="shared" si="86"/>
        <v>0</v>
      </c>
      <c r="CP53" s="40">
        <f t="shared" si="86"/>
        <v>0</v>
      </c>
      <c r="CQ53" s="40">
        <f t="shared" si="87"/>
        <v>0</v>
      </c>
      <c r="CR53" s="40">
        <f t="shared" si="87"/>
        <v>0</v>
      </c>
      <c r="CS53" s="40">
        <f t="shared" si="87"/>
        <v>0</v>
      </c>
      <c r="CT53" s="40">
        <f t="shared" si="87"/>
        <v>0</v>
      </c>
      <c r="CU53" s="40">
        <f t="shared" si="87"/>
        <v>0</v>
      </c>
      <c r="CV53" s="40">
        <f t="shared" si="87"/>
        <v>0</v>
      </c>
      <c r="CW53" s="40">
        <f t="shared" si="87"/>
        <v>0</v>
      </c>
      <c r="CX53" s="40">
        <f t="shared" si="87"/>
        <v>0</v>
      </c>
      <c r="CY53" s="40">
        <f t="shared" si="87"/>
        <v>0</v>
      </c>
      <c r="CZ53" s="40">
        <f t="shared" si="87"/>
        <v>0</v>
      </c>
      <c r="DA53" s="40">
        <f t="shared" si="88"/>
        <v>0</v>
      </c>
      <c r="DB53" s="40">
        <f t="shared" si="88"/>
        <v>0</v>
      </c>
      <c r="DC53" s="40">
        <f t="shared" si="88"/>
        <v>0</v>
      </c>
      <c r="DD53" s="40">
        <f t="shared" si="88"/>
        <v>0</v>
      </c>
      <c r="DE53" s="40">
        <f t="shared" si="88"/>
        <v>0</v>
      </c>
      <c r="DF53" s="40">
        <f t="shared" si="88"/>
        <v>0</v>
      </c>
      <c r="DG53" s="40">
        <f t="shared" si="88"/>
        <v>0</v>
      </c>
      <c r="DH53" s="40">
        <f t="shared" si="88"/>
        <v>0</v>
      </c>
      <c r="DI53" s="40">
        <f t="shared" si="88"/>
        <v>0</v>
      </c>
      <c r="DJ53" s="40">
        <f t="shared" si="88"/>
        <v>0</v>
      </c>
      <c r="DK53" s="40">
        <f t="shared" si="89"/>
        <v>0</v>
      </c>
      <c r="DL53" s="40">
        <f t="shared" si="89"/>
        <v>0</v>
      </c>
      <c r="DM53" s="40">
        <f t="shared" si="89"/>
        <v>0</v>
      </c>
      <c r="DN53" s="40">
        <f t="shared" si="89"/>
        <v>0</v>
      </c>
      <c r="DO53" s="40">
        <f t="shared" si="89"/>
        <v>0</v>
      </c>
      <c r="DP53" s="40">
        <f t="shared" si="89"/>
        <v>0</v>
      </c>
      <c r="DQ53" s="40">
        <f t="shared" si="89"/>
        <v>0</v>
      </c>
      <c r="DR53" s="40">
        <f t="shared" si="89"/>
        <v>0</v>
      </c>
      <c r="DS53" s="40">
        <f t="shared" si="89"/>
        <v>0</v>
      </c>
      <c r="DT53" s="40">
        <f t="shared" si="89"/>
        <v>0</v>
      </c>
      <c r="DU53" s="40">
        <f t="shared" si="90"/>
        <v>0</v>
      </c>
      <c r="DV53" s="40">
        <f t="shared" si="90"/>
        <v>0</v>
      </c>
      <c r="DW53" s="40">
        <f t="shared" si="90"/>
        <v>0</v>
      </c>
      <c r="DX53" s="40">
        <f t="shared" si="90"/>
        <v>0</v>
      </c>
      <c r="DY53" s="40">
        <f t="shared" si="90"/>
        <v>0</v>
      </c>
      <c r="DZ53" s="40">
        <f t="shared" si="90"/>
        <v>0</v>
      </c>
      <c r="EA53" s="40">
        <f t="shared" si="90"/>
        <v>0</v>
      </c>
      <c r="EB53" s="40">
        <f t="shared" si="90"/>
        <v>0</v>
      </c>
      <c r="EC53" s="40">
        <f t="shared" si="90"/>
        <v>0</v>
      </c>
      <c r="ED53" s="40">
        <f t="shared" si="90"/>
        <v>0</v>
      </c>
      <c r="EE53" s="40">
        <f t="shared" si="91"/>
        <v>0</v>
      </c>
      <c r="EF53" s="40">
        <f t="shared" si="91"/>
        <v>0</v>
      </c>
      <c r="EG53" s="40">
        <f t="shared" si="91"/>
        <v>0</v>
      </c>
      <c r="EH53" s="40">
        <f t="shared" si="91"/>
        <v>0</v>
      </c>
      <c r="EI53" s="40">
        <f t="shared" si="91"/>
        <v>0</v>
      </c>
      <c r="EJ53" s="40">
        <f t="shared" si="91"/>
        <v>0</v>
      </c>
      <c r="EK53" s="40">
        <f t="shared" si="91"/>
        <v>0</v>
      </c>
      <c r="EL53" s="40">
        <f t="shared" si="91"/>
        <v>0</v>
      </c>
      <c r="EM53" s="40">
        <f t="shared" si="91"/>
        <v>0</v>
      </c>
      <c r="EN53" s="40">
        <f t="shared" si="91"/>
        <v>0</v>
      </c>
    </row>
    <row r="54" spans="2:144" x14ac:dyDescent="0.35">
      <c r="E54" s="18">
        <f t="shared" si="68"/>
        <v>0</v>
      </c>
      <c r="I54" s="28">
        <f t="shared" si="69"/>
        <v>0</v>
      </c>
      <c r="N54" s="39">
        <f t="shared" si="70"/>
        <v>0</v>
      </c>
      <c r="O54" s="39">
        <f t="shared" si="71"/>
        <v>0</v>
      </c>
      <c r="P54" s="39">
        <f t="shared" si="72"/>
        <v>0</v>
      </c>
      <c r="Q54" s="39">
        <f t="shared" si="73"/>
        <v>0</v>
      </c>
      <c r="R54" s="39">
        <f t="shared" si="74"/>
        <v>0</v>
      </c>
      <c r="S54" s="39">
        <f t="shared" si="75"/>
        <v>0</v>
      </c>
      <c r="T54" s="39">
        <f t="shared" si="76"/>
        <v>0</v>
      </c>
      <c r="U54" s="39">
        <f t="shared" si="77"/>
        <v>0</v>
      </c>
      <c r="V54" s="39">
        <f t="shared" si="78"/>
        <v>0</v>
      </c>
      <c r="W54" s="39">
        <f>IF(D54="",0,Retention_Ratio*LC_Ren*LeaseTermYrs*'Rent Roll'!D54*'Rent Roll'!X54+(1-Retention_Ratio)*LC_Ren*LeaseTermYrs*'Rent Roll'!D54*'Rent Roll'!X54)</f>
        <v>0</v>
      </c>
      <c r="X54" s="25">
        <f t="shared" si="79"/>
        <v>0</v>
      </c>
      <c r="Y54" s="40">
        <f t="shared" si="80"/>
        <v>0</v>
      </c>
      <c r="Z54" s="40">
        <f t="shared" si="80"/>
        <v>0</v>
      </c>
      <c r="AA54" s="40">
        <f t="shared" si="80"/>
        <v>0</v>
      </c>
      <c r="AB54" s="40">
        <f t="shared" si="80"/>
        <v>0</v>
      </c>
      <c r="AC54" s="40">
        <f t="shared" si="80"/>
        <v>0</v>
      </c>
      <c r="AD54" s="40">
        <f t="shared" si="80"/>
        <v>0</v>
      </c>
      <c r="AE54" s="40">
        <f t="shared" si="80"/>
        <v>0</v>
      </c>
      <c r="AF54" s="40">
        <f t="shared" si="80"/>
        <v>0</v>
      </c>
      <c r="AG54" s="40">
        <f t="shared" si="80"/>
        <v>0</v>
      </c>
      <c r="AH54" s="40">
        <f t="shared" si="80"/>
        <v>0</v>
      </c>
      <c r="AI54" s="40">
        <f t="shared" si="81"/>
        <v>0</v>
      </c>
      <c r="AJ54" s="40">
        <f t="shared" si="81"/>
        <v>0</v>
      </c>
      <c r="AK54" s="40">
        <f t="shared" si="81"/>
        <v>0</v>
      </c>
      <c r="AL54" s="40">
        <f t="shared" si="81"/>
        <v>0</v>
      </c>
      <c r="AM54" s="40">
        <f t="shared" si="81"/>
        <v>0</v>
      </c>
      <c r="AN54" s="40">
        <f t="shared" si="81"/>
        <v>0</v>
      </c>
      <c r="AO54" s="40">
        <f t="shared" si="81"/>
        <v>0</v>
      </c>
      <c r="AP54" s="40">
        <f t="shared" si="81"/>
        <v>0</v>
      </c>
      <c r="AQ54" s="40">
        <f t="shared" si="81"/>
        <v>0</v>
      </c>
      <c r="AR54" s="40">
        <f t="shared" si="81"/>
        <v>0</v>
      </c>
      <c r="AS54" s="40">
        <f t="shared" si="82"/>
        <v>0</v>
      </c>
      <c r="AT54" s="40">
        <f t="shared" si="82"/>
        <v>0</v>
      </c>
      <c r="AU54" s="40">
        <f t="shared" si="82"/>
        <v>0</v>
      </c>
      <c r="AV54" s="40">
        <f t="shared" si="82"/>
        <v>0</v>
      </c>
      <c r="AW54" s="40">
        <f t="shared" si="82"/>
        <v>0</v>
      </c>
      <c r="AX54" s="40">
        <f t="shared" si="82"/>
        <v>0</v>
      </c>
      <c r="AY54" s="40">
        <f t="shared" si="82"/>
        <v>0</v>
      </c>
      <c r="AZ54" s="40">
        <f t="shared" si="82"/>
        <v>0</v>
      </c>
      <c r="BA54" s="40">
        <f t="shared" si="82"/>
        <v>0</v>
      </c>
      <c r="BB54" s="40">
        <f t="shared" si="82"/>
        <v>0</v>
      </c>
      <c r="BC54" s="40">
        <f t="shared" si="83"/>
        <v>0</v>
      </c>
      <c r="BD54" s="40">
        <f t="shared" si="83"/>
        <v>0</v>
      </c>
      <c r="BE54" s="40">
        <f t="shared" si="83"/>
        <v>0</v>
      </c>
      <c r="BF54" s="40">
        <f t="shared" si="83"/>
        <v>0</v>
      </c>
      <c r="BG54" s="40">
        <f t="shared" si="83"/>
        <v>0</v>
      </c>
      <c r="BH54" s="40">
        <f t="shared" si="83"/>
        <v>0</v>
      </c>
      <c r="BI54" s="40">
        <f t="shared" si="83"/>
        <v>0</v>
      </c>
      <c r="BJ54" s="40">
        <f t="shared" si="83"/>
        <v>0</v>
      </c>
      <c r="BK54" s="40">
        <f t="shared" si="83"/>
        <v>0</v>
      </c>
      <c r="BL54" s="40">
        <f t="shared" si="83"/>
        <v>0</v>
      </c>
      <c r="BM54" s="40">
        <f t="shared" si="84"/>
        <v>0</v>
      </c>
      <c r="BN54" s="40">
        <f t="shared" si="84"/>
        <v>0</v>
      </c>
      <c r="BO54" s="40">
        <f t="shared" si="84"/>
        <v>0</v>
      </c>
      <c r="BP54" s="40">
        <f t="shared" si="84"/>
        <v>0</v>
      </c>
      <c r="BQ54" s="40">
        <f t="shared" si="84"/>
        <v>0</v>
      </c>
      <c r="BR54" s="40">
        <f t="shared" si="84"/>
        <v>0</v>
      </c>
      <c r="BS54" s="40">
        <f t="shared" si="84"/>
        <v>0</v>
      </c>
      <c r="BT54" s="40">
        <f t="shared" si="84"/>
        <v>0</v>
      </c>
      <c r="BU54" s="40">
        <f t="shared" si="84"/>
        <v>0</v>
      </c>
      <c r="BV54" s="40">
        <f t="shared" si="84"/>
        <v>0</v>
      </c>
      <c r="BW54" s="40">
        <f t="shared" si="85"/>
        <v>0</v>
      </c>
      <c r="BX54" s="40">
        <f t="shared" si="85"/>
        <v>0</v>
      </c>
      <c r="BY54" s="40">
        <f t="shared" si="85"/>
        <v>0</v>
      </c>
      <c r="BZ54" s="40">
        <f t="shared" si="85"/>
        <v>0</v>
      </c>
      <c r="CA54" s="40">
        <f t="shared" si="85"/>
        <v>0</v>
      </c>
      <c r="CB54" s="40">
        <f t="shared" si="85"/>
        <v>0</v>
      </c>
      <c r="CC54" s="40">
        <f t="shared" si="85"/>
        <v>0</v>
      </c>
      <c r="CD54" s="40">
        <f t="shared" si="85"/>
        <v>0</v>
      </c>
      <c r="CE54" s="40">
        <f t="shared" si="85"/>
        <v>0</v>
      </c>
      <c r="CF54" s="40">
        <f t="shared" si="85"/>
        <v>0</v>
      </c>
      <c r="CG54" s="40">
        <f t="shared" si="86"/>
        <v>0</v>
      </c>
      <c r="CH54" s="40">
        <f t="shared" si="86"/>
        <v>0</v>
      </c>
      <c r="CI54" s="40">
        <f t="shared" si="86"/>
        <v>0</v>
      </c>
      <c r="CJ54" s="40">
        <f t="shared" si="86"/>
        <v>0</v>
      </c>
      <c r="CK54" s="40">
        <f t="shared" si="86"/>
        <v>0</v>
      </c>
      <c r="CL54" s="40">
        <f t="shared" si="86"/>
        <v>0</v>
      </c>
      <c r="CM54" s="40">
        <f t="shared" si="86"/>
        <v>0</v>
      </c>
      <c r="CN54" s="40">
        <f t="shared" si="86"/>
        <v>0</v>
      </c>
      <c r="CO54" s="40">
        <f t="shared" si="86"/>
        <v>0</v>
      </c>
      <c r="CP54" s="40">
        <f t="shared" si="86"/>
        <v>0</v>
      </c>
      <c r="CQ54" s="40">
        <f t="shared" si="87"/>
        <v>0</v>
      </c>
      <c r="CR54" s="40">
        <f t="shared" si="87"/>
        <v>0</v>
      </c>
      <c r="CS54" s="40">
        <f t="shared" si="87"/>
        <v>0</v>
      </c>
      <c r="CT54" s="40">
        <f t="shared" si="87"/>
        <v>0</v>
      </c>
      <c r="CU54" s="40">
        <f t="shared" si="87"/>
        <v>0</v>
      </c>
      <c r="CV54" s="40">
        <f t="shared" si="87"/>
        <v>0</v>
      </c>
      <c r="CW54" s="40">
        <f t="shared" si="87"/>
        <v>0</v>
      </c>
      <c r="CX54" s="40">
        <f t="shared" si="87"/>
        <v>0</v>
      </c>
      <c r="CY54" s="40">
        <f t="shared" si="87"/>
        <v>0</v>
      </c>
      <c r="CZ54" s="40">
        <f t="shared" si="87"/>
        <v>0</v>
      </c>
      <c r="DA54" s="40">
        <f t="shared" si="88"/>
        <v>0</v>
      </c>
      <c r="DB54" s="40">
        <f t="shared" si="88"/>
        <v>0</v>
      </c>
      <c r="DC54" s="40">
        <f t="shared" si="88"/>
        <v>0</v>
      </c>
      <c r="DD54" s="40">
        <f t="shared" si="88"/>
        <v>0</v>
      </c>
      <c r="DE54" s="40">
        <f t="shared" si="88"/>
        <v>0</v>
      </c>
      <c r="DF54" s="40">
        <f t="shared" si="88"/>
        <v>0</v>
      </c>
      <c r="DG54" s="40">
        <f t="shared" si="88"/>
        <v>0</v>
      </c>
      <c r="DH54" s="40">
        <f t="shared" si="88"/>
        <v>0</v>
      </c>
      <c r="DI54" s="40">
        <f t="shared" si="88"/>
        <v>0</v>
      </c>
      <c r="DJ54" s="40">
        <f t="shared" si="88"/>
        <v>0</v>
      </c>
      <c r="DK54" s="40">
        <f t="shared" si="89"/>
        <v>0</v>
      </c>
      <c r="DL54" s="40">
        <f t="shared" si="89"/>
        <v>0</v>
      </c>
      <c r="DM54" s="40">
        <f t="shared" si="89"/>
        <v>0</v>
      </c>
      <c r="DN54" s="40">
        <f t="shared" si="89"/>
        <v>0</v>
      </c>
      <c r="DO54" s="40">
        <f t="shared" si="89"/>
        <v>0</v>
      </c>
      <c r="DP54" s="40">
        <f t="shared" si="89"/>
        <v>0</v>
      </c>
      <c r="DQ54" s="40">
        <f t="shared" si="89"/>
        <v>0</v>
      </c>
      <c r="DR54" s="40">
        <f t="shared" si="89"/>
        <v>0</v>
      </c>
      <c r="DS54" s="40">
        <f t="shared" si="89"/>
        <v>0</v>
      </c>
      <c r="DT54" s="40">
        <f t="shared" si="89"/>
        <v>0</v>
      </c>
      <c r="DU54" s="40">
        <f t="shared" si="90"/>
        <v>0</v>
      </c>
      <c r="DV54" s="40">
        <f t="shared" si="90"/>
        <v>0</v>
      </c>
      <c r="DW54" s="40">
        <f t="shared" si="90"/>
        <v>0</v>
      </c>
      <c r="DX54" s="40">
        <f t="shared" si="90"/>
        <v>0</v>
      </c>
      <c r="DY54" s="40">
        <f t="shared" si="90"/>
        <v>0</v>
      </c>
      <c r="DZ54" s="40">
        <f t="shared" si="90"/>
        <v>0</v>
      </c>
      <c r="EA54" s="40">
        <f t="shared" si="90"/>
        <v>0</v>
      </c>
      <c r="EB54" s="40">
        <f t="shared" si="90"/>
        <v>0</v>
      </c>
      <c r="EC54" s="40">
        <f t="shared" si="90"/>
        <v>0</v>
      </c>
      <c r="ED54" s="40">
        <f t="shared" si="90"/>
        <v>0</v>
      </c>
      <c r="EE54" s="40">
        <f t="shared" si="91"/>
        <v>0</v>
      </c>
      <c r="EF54" s="40">
        <f t="shared" si="91"/>
        <v>0</v>
      </c>
      <c r="EG54" s="40">
        <f t="shared" si="91"/>
        <v>0</v>
      </c>
      <c r="EH54" s="40">
        <f t="shared" si="91"/>
        <v>0</v>
      </c>
      <c r="EI54" s="40">
        <f t="shared" si="91"/>
        <v>0</v>
      </c>
      <c r="EJ54" s="40">
        <f t="shared" si="91"/>
        <v>0</v>
      </c>
      <c r="EK54" s="40">
        <f t="shared" si="91"/>
        <v>0</v>
      </c>
      <c r="EL54" s="40">
        <f t="shared" si="91"/>
        <v>0</v>
      </c>
      <c r="EM54" s="40">
        <f t="shared" si="91"/>
        <v>0</v>
      </c>
      <c r="EN54" s="40">
        <f t="shared" si="91"/>
        <v>0</v>
      </c>
    </row>
    <row r="55" spans="2:144" x14ac:dyDescent="0.35">
      <c r="E55" s="18">
        <f t="shared" si="68"/>
        <v>0</v>
      </c>
      <c r="I55" s="28">
        <f t="shared" si="69"/>
        <v>0</v>
      </c>
      <c r="N55" s="39">
        <f t="shared" si="70"/>
        <v>0</v>
      </c>
      <c r="O55" s="39">
        <f t="shared" si="71"/>
        <v>0</v>
      </c>
      <c r="P55" s="39">
        <f t="shared" si="72"/>
        <v>0</v>
      </c>
      <c r="Q55" s="39">
        <f t="shared" si="73"/>
        <v>0</v>
      </c>
      <c r="R55" s="39">
        <f t="shared" si="74"/>
        <v>0</v>
      </c>
      <c r="S55" s="39">
        <f t="shared" si="75"/>
        <v>0</v>
      </c>
      <c r="T55" s="39">
        <f t="shared" si="76"/>
        <v>0</v>
      </c>
      <c r="U55" s="39">
        <f t="shared" si="77"/>
        <v>0</v>
      </c>
      <c r="V55" s="39">
        <f t="shared" si="78"/>
        <v>0</v>
      </c>
      <c r="W55" s="39">
        <f>IF(D55="",0,Retention_Ratio*LC_Ren*LeaseTermYrs*'Rent Roll'!D55*'Rent Roll'!X55+(1-Retention_Ratio)*LC_Ren*LeaseTermYrs*'Rent Roll'!D55*'Rent Roll'!X55)</f>
        <v>0</v>
      </c>
      <c r="X55" s="25">
        <f t="shared" si="79"/>
        <v>0</v>
      </c>
      <c r="Y55" s="40">
        <f t="shared" si="80"/>
        <v>0</v>
      </c>
      <c r="Z55" s="40">
        <f t="shared" si="80"/>
        <v>0</v>
      </c>
      <c r="AA55" s="40">
        <f t="shared" si="80"/>
        <v>0</v>
      </c>
      <c r="AB55" s="40">
        <f t="shared" si="80"/>
        <v>0</v>
      </c>
      <c r="AC55" s="40">
        <f t="shared" si="80"/>
        <v>0</v>
      </c>
      <c r="AD55" s="40">
        <f t="shared" si="80"/>
        <v>0</v>
      </c>
      <c r="AE55" s="40">
        <f t="shared" si="80"/>
        <v>0</v>
      </c>
      <c r="AF55" s="40">
        <f t="shared" si="80"/>
        <v>0</v>
      </c>
      <c r="AG55" s="40">
        <f t="shared" si="80"/>
        <v>0</v>
      </c>
      <c r="AH55" s="40">
        <f t="shared" si="80"/>
        <v>0</v>
      </c>
      <c r="AI55" s="40">
        <f t="shared" si="81"/>
        <v>0</v>
      </c>
      <c r="AJ55" s="40">
        <f t="shared" si="81"/>
        <v>0</v>
      </c>
      <c r="AK55" s="40">
        <f t="shared" si="81"/>
        <v>0</v>
      </c>
      <c r="AL55" s="40">
        <f t="shared" si="81"/>
        <v>0</v>
      </c>
      <c r="AM55" s="40">
        <f t="shared" si="81"/>
        <v>0</v>
      </c>
      <c r="AN55" s="40">
        <f t="shared" si="81"/>
        <v>0</v>
      </c>
      <c r="AO55" s="40">
        <f t="shared" si="81"/>
        <v>0</v>
      </c>
      <c r="AP55" s="40">
        <f t="shared" si="81"/>
        <v>0</v>
      </c>
      <c r="AQ55" s="40">
        <f t="shared" si="81"/>
        <v>0</v>
      </c>
      <c r="AR55" s="40">
        <f t="shared" si="81"/>
        <v>0</v>
      </c>
      <c r="AS55" s="40">
        <f t="shared" si="82"/>
        <v>0</v>
      </c>
      <c r="AT55" s="40">
        <f t="shared" si="82"/>
        <v>0</v>
      </c>
      <c r="AU55" s="40">
        <f t="shared" si="82"/>
        <v>0</v>
      </c>
      <c r="AV55" s="40">
        <f t="shared" si="82"/>
        <v>0</v>
      </c>
      <c r="AW55" s="40">
        <f t="shared" si="82"/>
        <v>0</v>
      </c>
      <c r="AX55" s="40">
        <f t="shared" si="82"/>
        <v>0</v>
      </c>
      <c r="AY55" s="40">
        <f t="shared" si="82"/>
        <v>0</v>
      </c>
      <c r="AZ55" s="40">
        <f t="shared" si="82"/>
        <v>0</v>
      </c>
      <c r="BA55" s="40">
        <f t="shared" si="82"/>
        <v>0</v>
      </c>
      <c r="BB55" s="40">
        <f t="shared" si="82"/>
        <v>0</v>
      </c>
      <c r="BC55" s="40">
        <f t="shared" si="83"/>
        <v>0</v>
      </c>
      <c r="BD55" s="40">
        <f t="shared" si="83"/>
        <v>0</v>
      </c>
      <c r="BE55" s="40">
        <f t="shared" si="83"/>
        <v>0</v>
      </c>
      <c r="BF55" s="40">
        <f t="shared" si="83"/>
        <v>0</v>
      </c>
      <c r="BG55" s="40">
        <f t="shared" si="83"/>
        <v>0</v>
      </c>
      <c r="BH55" s="40">
        <f t="shared" si="83"/>
        <v>0</v>
      </c>
      <c r="BI55" s="40">
        <f t="shared" si="83"/>
        <v>0</v>
      </c>
      <c r="BJ55" s="40">
        <f t="shared" si="83"/>
        <v>0</v>
      </c>
      <c r="BK55" s="40">
        <f t="shared" si="83"/>
        <v>0</v>
      </c>
      <c r="BL55" s="40">
        <f t="shared" si="83"/>
        <v>0</v>
      </c>
      <c r="BM55" s="40">
        <f t="shared" si="84"/>
        <v>0</v>
      </c>
      <c r="BN55" s="40">
        <f t="shared" si="84"/>
        <v>0</v>
      </c>
      <c r="BO55" s="40">
        <f t="shared" si="84"/>
        <v>0</v>
      </c>
      <c r="BP55" s="40">
        <f t="shared" si="84"/>
        <v>0</v>
      </c>
      <c r="BQ55" s="40">
        <f t="shared" si="84"/>
        <v>0</v>
      </c>
      <c r="BR55" s="40">
        <f t="shared" si="84"/>
        <v>0</v>
      </c>
      <c r="BS55" s="40">
        <f t="shared" si="84"/>
        <v>0</v>
      </c>
      <c r="BT55" s="40">
        <f t="shared" si="84"/>
        <v>0</v>
      </c>
      <c r="BU55" s="40">
        <f t="shared" si="84"/>
        <v>0</v>
      </c>
      <c r="BV55" s="40">
        <f t="shared" si="84"/>
        <v>0</v>
      </c>
      <c r="BW55" s="40">
        <f t="shared" si="85"/>
        <v>0</v>
      </c>
      <c r="BX55" s="40">
        <f t="shared" si="85"/>
        <v>0</v>
      </c>
      <c r="BY55" s="40">
        <f t="shared" si="85"/>
        <v>0</v>
      </c>
      <c r="BZ55" s="40">
        <f t="shared" si="85"/>
        <v>0</v>
      </c>
      <c r="CA55" s="40">
        <f t="shared" si="85"/>
        <v>0</v>
      </c>
      <c r="CB55" s="40">
        <f t="shared" si="85"/>
        <v>0</v>
      </c>
      <c r="CC55" s="40">
        <f t="shared" si="85"/>
        <v>0</v>
      </c>
      <c r="CD55" s="40">
        <f t="shared" si="85"/>
        <v>0</v>
      </c>
      <c r="CE55" s="40">
        <f t="shared" si="85"/>
        <v>0</v>
      </c>
      <c r="CF55" s="40">
        <f t="shared" si="85"/>
        <v>0</v>
      </c>
      <c r="CG55" s="40">
        <f t="shared" si="86"/>
        <v>0</v>
      </c>
      <c r="CH55" s="40">
        <f t="shared" si="86"/>
        <v>0</v>
      </c>
      <c r="CI55" s="40">
        <f t="shared" si="86"/>
        <v>0</v>
      </c>
      <c r="CJ55" s="40">
        <f t="shared" si="86"/>
        <v>0</v>
      </c>
      <c r="CK55" s="40">
        <f t="shared" si="86"/>
        <v>0</v>
      </c>
      <c r="CL55" s="40">
        <f t="shared" si="86"/>
        <v>0</v>
      </c>
      <c r="CM55" s="40">
        <f t="shared" si="86"/>
        <v>0</v>
      </c>
      <c r="CN55" s="40">
        <f t="shared" si="86"/>
        <v>0</v>
      </c>
      <c r="CO55" s="40">
        <f t="shared" si="86"/>
        <v>0</v>
      </c>
      <c r="CP55" s="40">
        <f t="shared" si="86"/>
        <v>0</v>
      </c>
      <c r="CQ55" s="40">
        <f t="shared" si="87"/>
        <v>0</v>
      </c>
      <c r="CR55" s="40">
        <f t="shared" si="87"/>
        <v>0</v>
      </c>
      <c r="CS55" s="40">
        <f t="shared" si="87"/>
        <v>0</v>
      </c>
      <c r="CT55" s="40">
        <f t="shared" si="87"/>
        <v>0</v>
      </c>
      <c r="CU55" s="40">
        <f t="shared" si="87"/>
        <v>0</v>
      </c>
      <c r="CV55" s="40">
        <f t="shared" si="87"/>
        <v>0</v>
      </c>
      <c r="CW55" s="40">
        <f t="shared" si="87"/>
        <v>0</v>
      </c>
      <c r="CX55" s="40">
        <f t="shared" si="87"/>
        <v>0</v>
      </c>
      <c r="CY55" s="40">
        <f t="shared" si="87"/>
        <v>0</v>
      </c>
      <c r="CZ55" s="40">
        <f t="shared" si="87"/>
        <v>0</v>
      </c>
      <c r="DA55" s="40">
        <f t="shared" si="88"/>
        <v>0</v>
      </c>
      <c r="DB55" s="40">
        <f t="shared" si="88"/>
        <v>0</v>
      </c>
      <c r="DC55" s="40">
        <f t="shared" si="88"/>
        <v>0</v>
      </c>
      <c r="DD55" s="40">
        <f t="shared" si="88"/>
        <v>0</v>
      </c>
      <c r="DE55" s="40">
        <f t="shared" si="88"/>
        <v>0</v>
      </c>
      <c r="DF55" s="40">
        <f t="shared" si="88"/>
        <v>0</v>
      </c>
      <c r="DG55" s="40">
        <f t="shared" si="88"/>
        <v>0</v>
      </c>
      <c r="DH55" s="40">
        <f t="shared" si="88"/>
        <v>0</v>
      </c>
      <c r="DI55" s="40">
        <f t="shared" si="88"/>
        <v>0</v>
      </c>
      <c r="DJ55" s="40">
        <f t="shared" si="88"/>
        <v>0</v>
      </c>
      <c r="DK55" s="40">
        <f t="shared" si="89"/>
        <v>0</v>
      </c>
      <c r="DL55" s="40">
        <f t="shared" si="89"/>
        <v>0</v>
      </c>
      <c r="DM55" s="40">
        <f t="shared" si="89"/>
        <v>0</v>
      </c>
      <c r="DN55" s="40">
        <f t="shared" si="89"/>
        <v>0</v>
      </c>
      <c r="DO55" s="40">
        <f t="shared" si="89"/>
        <v>0</v>
      </c>
      <c r="DP55" s="40">
        <f t="shared" si="89"/>
        <v>0</v>
      </c>
      <c r="DQ55" s="40">
        <f t="shared" si="89"/>
        <v>0</v>
      </c>
      <c r="DR55" s="40">
        <f t="shared" si="89"/>
        <v>0</v>
      </c>
      <c r="DS55" s="40">
        <f t="shared" si="89"/>
        <v>0</v>
      </c>
      <c r="DT55" s="40">
        <f t="shared" si="89"/>
        <v>0</v>
      </c>
      <c r="DU55" s="40">
        <f t="shared" si="90"/>
        <v>0</v>
      </c>
      <c r="DV55" s="40">
        <f t="shared" si="90"/>
        <v>0</v>
      </c>
      <c r="DW55" s="40">
        <f t="shared" si="90"/>
        <v>0</v>
      </c>
      <c r="DX55" s="40">
        <f t="shared" si="90"/>
        <v>0</v>
      </c>
      <c r="DY55" s="40">
        <f t="shared" si="90"/>
        <v>0</v>
      </c>
      <c r="DZ55" s="40">
        <f t="shared" si="90"/>
        <v>0</v>
      </c>
      <c r="EA55" s="40">
        <f t="shared" si="90"/>
        <v>0</v>
      </c>
      <c r="EB55" s="40">
        <f t="shared" si="90"/>
        <v>0</v>
      </c>
      <c r="EC55" s="40">
        <f t="shared" si="90"/>
        <v>0</v>
      </c>
      <c r="ED55" s="40">
        <f t="shared" si="90"/>
        <v>0</v>
      </c>
      <c r="EE55" s="40">
        <f t="shared" si="91"/>
        <v>0</v>
      </c>
      <c r="EF55" s="40">
        <f t="shared" si="91"/>
        <v>0</v>
      </c>
      <c r="EG55" s="40">
        <f t="shared" si="91"/>
        <v>0</v>
      </c>
      <c r="EH55" s="40">
        <f t="shared" si="91"/>
        <v>0</v>
      </c>
      <c r="EI55" s="40">
        <f t="shared" si="91"/>
        <v>0</v>
      </c>
      <c r="EJ55" s="40">
        <f t="shared" si="91"/>
        <v>0</v>
      </c>
      <c r="EK55" s="40">
        <f t="shared" si="91"/>
        <v>0</v>
      </c>
      <c r="EL55" s="40">
        <f t="shared" si="91"/>
        <v>0</v>
      </c>
      <c r="EM55" s="40">
        <f t="shared" si="91"/>
        <v>0</v>
      </c>
      <c r="EN55" s="40">
        <f t="shared" si="91"/>
        <v>0</v>
      </c>
    </row>
    <row r="56" spans="2:144" x14ac:dyDescent="0.35">
      <c r="E56" s="18">
        <f t="shared" si="68"/>
        <v>0</v>
      </c>
      <c r="I56" s="28">
        <f t="shared" si="69"/>
        <v>0</v>
      </c>
      <c r="N56" s="39">
        <f t="shared" si="70"/>
        <v>0</v>
      </c>
      <c r="O56" s="39">
        <f t="shared" si="71"/>
        <v>0</v>
      </c>
      <c r="P56" s="39">
        <f t="shared" si="72"/>
        <v>0</v>
      </c>
      <c r="Q56" s="39">
        <f t="shared" si="73"/>
        <v>0</v>
      </c>
      <c r="R56" s="39">
        <f t="shared" si="74"/>
        <v>0</v>
      </c>
      <c r="S56" s="39">
        <f t="shared" si="75"/>
        <v>0</v>
      </c>
      <c r="T56" s="39">
        <f t="shared" si="76"/>
        <v>0</v>
      </c>
      <c r="U56" s="39">
        <f t="shared" si="77"/>
        <v>0</v>
      </c>
      <c r="V56" s="39">
        <f t="shared" si="78"/>
        <v>0</v>
      </c>
      <c r="W56" s="39">
        <f>IF(D56="",0,Retention_Ratio*LC_Ren*LeaseTermYrs*'Rent Roll'!D56*'Rent Roll'!X56+(1-Retention_Ratio)*LC_Ren*LeaseTermYrs*'Rent Roll'!D56*'Rent Roll'!X56)</f>
        <v>0</v>
      </c>
      <c r="X56" s="25">
        <f t="shared" si="79"/>
        <v>0</v>
      </c>
      <c r="Y56" s="40">
        <f t="shared" si="80"/>
        <v>0</v>
      </c>
      <c r="Z56" s="40">
        <f t="shared" si="80"/>
        <v>0</v>
      </c>
      <c r="AA56" s="40">
        <f t="shared" si="80"/>
        <v>0</v>
      </c>
      <c r="AB56" s="40">
        <f t="shared" si="80"/>
        <v>0</v>
      </c>
      <c r="AC56" s="40">
        <f t="shared" si="80"/>
        <v>0</v>
      </c>
      <c r="AD56" s="40">
        <f t="shared" si="80"/>
        <v>0</v>
      </c>
      <c r="AE56" s="40">
        <f t="shared" si="80"/>
        <v>0</v>
      </c>
      <c r="AF56" s="40">
        <f t="shared" si="80"/>
        <v>0</v>
      </c>
      <c r="AG56" s="40">
        <f t="shared" si="80"/>
        <v>0</v>
      </c>
      <c r="AH56" s="40">
        <f t="shared" si="80"/>
        <v>0</v>
      </c>
      <c r="AI56" s="40">
        <f t="shared" si="81"/>
        <v>0</v>
      </c>
      <c r="AJ56" s="40">
        <f t="shared" si="81"/>
        <v>0</v>
      </c>
      <c r="AK56" s="40">
        <f t="shared" si="81"/>
        <v>0</v>
      </c>
      <c r="AL56" s="40">
        <f t="shared" si="81"/>
        <v>0</v>
      </c>
      <c r="AM56" s="40">
        <f t="shared" si="81"/>
        <v>0</v>
      </c>
      <c r="AN56" s="40">
        <f t="shared" si="81"/>
        <v>0</v>
      </c>
      <c r="AO56" s="40">
        <f t="shared" si="81"/>
        <v>0</v>
      </c>
      <c r="AP56" s="40">
        <f t="shared" si="81"/>
        <v>0</v>
      </c>
      <c r="AQ56" s="40">
        <f t="shared" si="81"/>
        <v>0</v>
      </c>
      <c r="AR56" s="40">
        <f t="shared" si="81"/>
        <v>0</v>
      </c>
      <c r="AS56" s="40">
        <f t="shared" si="82"/>
        <v>0</v>
      </c>
      <c r="AT56" s="40">
        <f t="shared" si="82"/>
        <v>0</v>
      </c>
      <c r="AU56" s="40">
        <f t="shared" si="82"/>
        <v>0</v>
      </c>
      <c r="AV56" s="40">
        <f t="shared" si="82"/>
        <v>0</v>
      </c>
      <c r="AW56" s="40">
        <f t="shared" si="82"/>
        <v>0</v>
      </c>
      <c r="AX56" s="40">
        <f t="shared" si="82"/>
        <v>0</v>
      </c>
      <c r="AY56" s="40">
        <f t="shared" si="82"/>
        <v>0</v>
      </c>
      <c r="AZ56" s="40">
        <f t="shared" si="82"/>
        <v>0</v>
      </c>
      <c r="BA56" s="40">
        <f t="shared" si="82"/>
        <v>0</v>
      </c>
      <c r="BB56" s="40">
        <f t="shared" si="82"/>
        <v>0</v>
      </c>
      <c r="BC56" s="40">
        <f t="shared" si="83"/>
        <v>0</v>
      </c>
      <c r="BD56" s="40">
        <f t="shared" si="83"/>
        <v>0</v>
      </c>
      <c r="BE56" s="40">
        <f t="shared" si="83"/>
        <v>0</v>
      </c>
      <c r="BF56" s="40">
        <f t="shared" si="83"/>
        <v>0</v>
      </c>
      <c r="BG56" s="40">
        <f t="shared" si="83"/>
        <v>0</v>
      </c>
      <c r="BH56" s="40">
        <f t="shared" si="83"/>
        <v>0</v>
      </c>
      <c r="BI56" s="40">
        <f t="shared" si="83"/>
        <v>0</v>
      </c>
      <c r="BJ56" s="40">
        <f t="shared" si="83"/>
        <v>0</v>
      </c>
      <c r="BK56" s="40">
        <f t="shared" si="83"/>
        <v>0</v>
      </c>
      <c r="BL56" s="40">
        <f t="shared" si="83"/>
        <v>0</v>
      </c>
      <c r="BM56" s="40">
        <f t="shared" si="84"/>
        <v>0</v>
      </c>
      <c r="BN56" s="40">
        <f t="shared" si="84"/>
        <v>0</v>
      </c>
      <c r="BO56" s="40">
        <f t="shared" si="84"/>
        <v>0</v>
      </c>
      <c r="BP56" s="40">
        <f t="shared" si="84"/>
        <v>0</v>
      </c>
      <c r="BQ56" s="40">
        <f t="shared" si="84"/>
        <v>0</v>
      </c>
      <c r="BR56" s="40">
        <f t="shared" si="84"/>
        <v>0</v>
      </c>
      <c r="BS56" s="40">
        <f t="shared" si="84"/>
        <v>0</v>
      </c>
      <c r="BT56" s="40">
        <f t="shared" si="84"/>
        <v>0</v>
      </c>
      <c r="BU56" s="40">
        <f t="shared" si="84"/>
        <v>0</v>
      </c>
      <c r="BV56" s="40">
        <f t="shared" si="84"/>
        <v>0</v>
      </c>
      <c r="BW56" s="40">
        <f t="shared" si="85"/>
        <v>0</v>
      </c>
      <c r="BX56" s="40">
        <f t="shared" si="85"/>
        <v>0</v>
      </c>
      <c r="BY56" s="40">
        <f t="shared" si="85"/>
        <v>0</v>
      </c>
      <c r="BZ56" s="40">
        <f t="shared" si="85"/>
        <v>0</v>
      </c>
      <c r="CA56" s="40">
        <f t="shared" si="85"/>
        <v>0</v>
      </c>
      <c r="CB56" s="40">
        <f t="shared" si="85"/>
        <v>0</v>
      </c>
      <c r="CC56" s="40">
        <f t="shared" si="85"/>
        <v>0</v>
      </c>
      <c r="CD56" s="40">
        <f t="shared" si="85"/>
        <v>0</v>
      </c>
      <c r="CE56" s="40">
        <f t="shared" si="85"/>
        <v>0</v>
      </c>
      <c r="CF56" s="40">
        <f t="shared" si="85"/>
        <v>0</v>
      </c>
      <c r="CG56" s="40">
        <f t="shared" si="86"/>
        <v>0</v>
      </c>
      <c r="CH56" s="40">
        <f t="shared" si="86"/>
        <v>0</v>
      </c>
      <c r="CI56" s="40">
        <f t="shared" si="86"/>
        <v>0</v>
      </c>
      <c r="CJ56" s="40">
        <f t="shared" si="86"/>
        <v>0</v>
      </c>
      <c r="CK56" s="40">
        <f t="shared" si="86"/>
        <v>0</v>
      </c>
      <c r="CL56" s="40">
        <f t="shared" si="86"/>
        <v>0</v>
      </c>
      <c r="CM56" s="40">
        <f t="shared" si="86"/>
        <v>0</v>
      </c>
      <c r="CN56" s="40">
        <f t="shared" si="86"/>
        <v>0</v>
      </c>
      <c r="CO56" s="40">
        <f t="shared" si="86"/>
        <v>0</v>
      </c>
      <c r="CP56" s="40">
        <f t="shared" si="86"/>
        <v>0</v>
      </c>
      <c r="CQ56" s="40">
        <f t="shared" si="87"/>
        <v>0</v>
      </c>
      <c r="CR56" s="40">
        <f t="shared" si="87"/>
        <v>0</v>
      </c>
      <c r="CS56" s="40">
        <f t="shared" si="87"/>
        <v>0</v>
      </c>
      <c r="CT56" s="40">
        <f t="shared" si="87"/>
        <v>0</v>
      </c>
      <c r="CU56" s="40">
        <f t="shared" si="87"/>
        <v>0</v>
      </c>
      <c r="CV56" s="40">
        <f t="shared" si="87"/>
        <v>0</v>
      </c>
      <c r="CW56" s="40">
        <f t="shared" si="87"/>
        <v>0</v>
      </c>
      <c r="CX56" s="40">
        <f t="shared" si="87"/>
        <v>0</v>
      </c>
      <c r="CY56" s="40">
        <f t="shared" si="87"/>
        <v>0</v>
      </c>
      <c r="CZ56" s="40">
        <f t="shared" si="87"/>
        <v>0</v>
      </c>
      <c r="DA56" s="40">
        <f t="shared" si="88"/>
        <v>0</v>
      </c>
      <c r="DB56" s="40">
        <f t="shared" si="88"/>
        <v>0</v>
      </c>
      <c r="DC56" s="40">
        <f t="shared" si="88"/>
        <v>0</v>
      </c>
      <c r="DD56" s="40">
        <f t="shared" si="88"/>
        <v>0</v>
      </c>
      <c r="DE56" s="40">
        <f t="shared" si="88"/>
        <v>0</v>
      </c>
      <c r="DF56" s="40">
        <f t="shared" si="88"/>
        <v>0</v>
      </c>
      <c r="DG56" s="40">
        <f t="shared" si="88"/>
        <v>0</v>
      </c>
      <c r="DH56" s="40">
        <f t="shared" si="88"/>
        <v>0</v>
      </c>
      <c r="DI56" s="40">
        <f t="shared" si="88"/>
        <v>0</v>
      </c>
      <c r="DJ56" s="40">
        <f t="shared" si="88"/>
        <v>0</v>
      </c>
      <c r="DK56" s="40">
        <f t="shared" si="89"/>
        <v>0</v>
      </c>
      <c r="DL56" s="40">
        <f t="shared" si="89"/>
        <v>0</v>
      </c>
      <c r="DM56" s="40">
        <f t="shared" si="89"/>
        <v>0</v>
      </c>
      <c r="DN56" s="40">
        <f t="shared" si="89"/>
        <v>0</v>
      </c>
      <c r="DO56" s="40">
        <f t="shared" si="89"/>
        <v>0</v>
      </c>
      <c r="DP56" s="40">
        <f t="shared" si="89"/>
        <v>0</v>
      </c>
      <c r="DQ56" s="40">
        <f t="shared" si="89"/>
        <v>0</v>
      </c>
      <c r="DR56" s="40">
        <f t="shared" si="89"/>
        <v>0</v>
      </c>
      <c r="DS56" s="40">
        <f t="shared" si="89"/>
        <v>0</v>
      </c>
      <c r="DT56" s="40">
        <f t="shared" si="89"/>
        <v>0</v>
      </c>
      <c r="DU56" s="40">
        <f t="shared" si="90"/>
        <v>0</v>
      </c>
      <c r="DV56" s="40">
        <f t="shared" si="90"/>
        <v>0</v>
      </c>
      <c r="DW56" s="40">
        <f t="shared" si="90"/>
        <v>0</v>
      </c>
      <c r="DX56" s="40">
        <f t="shared" si="90"/>
        <v>0</v>
      </c>
      <c r="DY56" s="40">
        <f t="shared" si="90"/>
        <v>0</v>
      </c>
      <c r="DZ56" s="40">
        <f t="shared" si="90"/>
        <v>0</v>
      </c>
      <c r="EA56" s="40">
        <f t="shared" si="90"/>
        <v>0</v>
      </c>
      <c r="EB56" s="40">
        <f t="shared" si="90"/>
        <v>0</v>
      </c>
      <c r="EC56" s="40">
        <f t="shared" si="90"/>
        <v>0</v>
      </c>
      <c r="ED56" s="40">
        <f t="shared" si="90"/>
        <v>0</v>
      </c>
      <c r="EE56" s="40">
        <f t="shared" si="91"/>
        <v>0</v>
      </c>
      <c r="EF56" s="40">
        <f t="shared" si="91"/>
        <v>0</v>
      </c>
      <c r="EG56" s="40">
        <f t="shared" si="91"/>
        <v>0</v>
      </c>
      <c r="EH56" s="40">
        <f t="shared" si="91"/>
        <v>0</v>
      </c>
      <c r="EI56" s="40">
        <f t="shared" si="91"/>
        <v>0</v>
      </c>
      <c r="EJ56" s="40">
        <f t="shared" si="91"/>
        <v>0</v>
      </c>
      <c r="EK56" s="40">
        <f t="shared" si="91"/>
        <v>0</v>
      </c>
      <c r="EL56" s="40">
        <f t="shared" si="91"/>
        <v>0</v>
      </c>
      <c r="EM56" s="40">
        <f t="shared" si="91"/>
        <v>0</v>
      </c>
      <c r="EN56" s="40">
        <f t="shared" si="91"/>
        <v>0</v>
      </c>
    </row>
    <row r="57" spans="2:144" x14ac:dyDescent="0.35">
      <c r="E57" s="18">
        <f t="shared" si="68"/>
        <v>0</v>
      </c>
      <c r="I57" s="28">
        <f t="shared" si="69"/>
        <v>0</v>
      </c>
      <c r="N57" s="39">
        <f t="shared" si="70"/>
        <v>0</v>
      </c>
      <c r="O57" s="39">
        <f t="shared" si="71"/>
        <v>0</v>
      </c>
      <c r="P57" s="39">
        <f t="shared" si="72"/>
        <v>0</v>
      </c>
      <c r="Q57" s="39">
        <f t="shared" si="73"/>
        <v>0</v>
      </c>
      <c r="R57" s="39">
        <f t="shared" si="74"/>
        <v>0</v>
      </c>
      <c r="S57" s="39">
        <f t="shared" si="75"/>
        <v>0</v>
      </c>
      <c r="T57" s="39">
        <f t="shared" si="76"/>
        <v>0</v>
      </c>
      <c r="U57" s="39">
        <f t="shared" si="77"/>
        <v>0</v>
      </c>
      <c r="V57" s="39">
        <f t="shared" si="78"/>
        <v>0</v>
      </c>
      <c r="W57" s="39">
        <f>IF(D57="",0,Retention_Ratio*LC_Ren*LeaseTermYrs*'Rent Roll'!D57*'Rent Roll'!X57+(1-Retention_Ratio)*LC_Ren*LeaseTermYrs*'Rent Roll'!D57*'Rent Roll'!X57)</f>
        <v>0</v>
      </c>
      <c r="X57" s="25">
        <f t="shared" si="79"/>
        <v>0</v>
      </c>
      <c r="Y57" s="40">
        <f t="shared" si="80"/>
        <v>0</v>
      </c>
      <c r="Z57" s="40">
        <f t="shared" si="80"/>
        <v>0</v>
      </c>
      <c r="AA57" s="40">
        <f t="shared" si="80"/>
        <v>0</v>
      </c>
      <c r="AB57" s="40">
        <f t="shared" si="80"/>
        <v>0</v>
      </c>
      <c r="AC57" s="40">
        <f t="shared" si="80"/>
        <v>0</v>
      </c>
      <c r="AD57" s="40">
        <f t="shared" si="80"/>
        <v>0</v>
      </c>
      <c r="AE57" s="40">
        <f t="shared" si="80"/>
        <v>0</v>
      </c>
      <c r="AF57" s="40">
        <f t="shared" si="80"/>
        <v>0</v>
      </c>
      <c r="AG57" s="40">
        <f t="shared" si="80"/>
        <v>0</v>
      </c>
      <c r="AH57" s="40">
        <f t="shared" si="80"/>
        <v>0</v>
      </c>
      <c r="AI57" s="40">
        <f t="shared" si="81"/>
        <v>0</v>
      </c>
      <c r="AJ57" s="40">
        <f t="shared" si="81"/>
        <v>0</v>
      </c>
      <c r="AK57" s="40">
        <f t="shared" si="81"/>
        <v>0</v>
      </c>
      <c r="AL57" s="40">
        <f t="shared" si="81"/>
        <v>0</v>
      </c>
      <c r="AM57" s="40">
        <f t="shared" si="81"/>
        <v>0</v>
      </c>
      <c r="AN57" s="40">
        <f t="shared" si="81"/>
        <v>0</v>
      </c>
      <c r="AO57" s="40">
        <f t="shared" si="81"/>
        <v>0</v>
      </c>
      <c r="AP57" s="40">
        <f t="shared" si="81"/>
        <v>0</v>
      </c>
      <c r="AQ57" s="40">
        <f t="shared" si="81"/>
        <v>0</v>
      </c>
      <c r="AR57" s="40">
        <f t="shared" si="81"/>
        <v>0</v>
      </c>
      <c r="AS57" s="40">
        <f t="shared" si="82"/>
        <v>0</v>
      </c>
      <c r="AT57" s="40">
        <f t="shared" si="82"/>
        <v>0</v>
      </c>
      <c r="AU57" s="40">
        <f t="shared" si="82"/>
        <v>0</v>
      </c>
      <c r="AV57" s="40">
        <f t="shared" si="82"/>
        <v>0</v>
      </c>
      <c r="AW57" s="40">
        <f t="shared" si="82"/>
        <v>0</v>
      </c>
      <c r="AX57" s="40">
        <f t="shared" si="82"/>
        <v>0</v>
      </c>
      <c r="AY57" s="40">
        <f t="shared" si="82"/>
        <v>0</v>
      </c>
      <c r="AZ57" s="40">
        <f t="shared" si="82"/>
        <v>0</v>
      </c>
      <c r="BA57" s="40">
        <f t="shared" si="82"/>
        <v>0</v>
      </c>
      <c r="BB57" s="40">
        <f t="shared" si="82"/>
        <v>0</v>
      </c>
      <c r="BC57" s="40">
        <f t="shared" si="83"/>
        <v>0</v>
      </c>
      <c r="BD57" s="40">
        <f t="shared" si="83"/>
        <v>0</v>
      </c>
      <c r="BE57" s="40">
        <f t="shared" si="83"/>
        <v>0</v>
      </c>
      <c r="BF57" s="40">
        <f t="shared" si="83"/>
        <v>0</v>
      </c>
      <c r="BG57" s="40">
        <f t="shared" si="83"/>
        <v>0</v>
      </c>
      <c r="BH57" s="40">
        <f t="shared" si="83"/>
        <v>0</v>
      </c>
      <c r="BI57" s="40">
        <f t="shared" si="83"/>
        <v>0</v>
      </c>
      <c r="BJ57" s="40">
        <f t="shared" si="83"/>
        <v>0</v>
      </c>
      <c r="BK57" s="40">
        <f t="shared" si="83"/>
        <v>0</v>
      </c>
      <c r="BL57" s="40">
        <f t="shared" si="83"/>
        <v>0</v>
      </c>
      <c r="BM57" s="40">
        <f t="shared" si="84"/>
        <v>0</v>
      </c>
      <c r="BN57" s="40">
        <f t="shared" si="84"/>
        <v>0</v>
      </c>
      <c r="BO57" s="40">
        <f t="shared" si="84"/>
        <v>0</v>
      </c>
      <c r="BP57" s="40">
        <f t="shared" si="84"/>
        <v>0</v>
      </c>
      <c r="BQ57" s="40">
        <f t="shared" si="84"/>
        <v>0</v>
      </c>
      <c r="BR57" s="40">
        <f t="shared" si="84"/>
        <v>0</v>
      </c>
      <c r="BS57" s="40">
        <f t="shared" si="84"/>
        <v>0</v>
      </c>
      <c r="BT57" s="40">
        <f t="shared" si="84"/>
        <v>0</v>
      </c>
      <c r="BU57" s="40">
        <f t="shared" si="84"/>
        <v>0</v>
      </c>
      <c r="BV57" s="40">
        <f t="shared" si="84"/>
        <v>0</v>
      </c>
      <c r="BW57" s="40">
        <f t="shared" si="85"/>
        <v>0</v>
      </c>
      <c r="BX57" s="40">
        <f t="shared" si="85"/>
        <v>0</v>
      </c>
      <c r="BY57" s="40">
        <f t="shared" si="85"/>
        <v>0</v>
      </c>
      <c r="BZ57" s="40">
        <f t="shared" si="85"/>
        <v>0</v>
      </c>
      <c r="CA57" s="40">
        <f t="shared" si="85"/>
        <v>0</v>
      </c>
      <c r="CB57" s="40">
        <f t="shared" si="85"/>
        <v>0</v>
      </c>
      <c r="CC57" s="40">
        <f t="shared" si="85"/>
        <v>0</v>
      </c>
      <c r="CD57" s="40">
        <f t="shared" si="85"/>
        <v>0</v>
      </c>
      <c r="CE57" s="40">
        <f t="shared" si="85"/>
        <v>0</v>
      </c>
      <c r="CF57" s="40">
        <f t="shared" si="85"/>
        <v>0</v>
      </c>
      <c r="CG57" s="40">
        <f t="shared" si="86"/>
        <v>0</v>
      </c>
      <c r="CH57" s="40">
        <f t="shared" si="86"/>
        <v>0</v>
      </c>
      <c r="CI57" s="40">
        <f t="shared" si="86"/>
        <v>0</v>
      </c>
      <c r="CJ57" s="40">
        <f t="shared" si="86"/>
        <v>0</v>
      </c>
      <c r="CK57" s="40">
        <f t="shared" si="86"/>
        <v>0</v>
      </c>
      <c r="CL57" s="40">
        <f t="shared" si="86"/>
        <v>0</v>
      </c>
      <c r="CM57" s="40">
        <f t="shared" si="86"/>
        <v>0</v>
      </c>
      <c r="CN57" s="40">
        <f t="shared" si="86"/>
        <v>0</v>
      </c>
      <c r="CO57" s="40">
        <f t="shared" si="86"/>
        <v>0</v>
      </c>
      <c r="CP57" s="40">
        <f t="shared" si="86"/>
        <v>0</v>
      </c>
      <c r="CQ57" s="40">
        <f t="shared" si="87"/>
        <v>0</v>
      </c>
      <c r="CR57" s="40">
        <f t="shared" si="87"/>
        <v>0</v>
      </c>
      <c r="CS57" s="40">
        <f t="shared" si="87"/>
        <v>0</v>
      </c>
      <c r="CT57" s="40">
        <f t="shared" si="87"/>
        <v>0</v>
      </c>
      <c r="CU57" s="40">
        <f t="shared" si="87"/>
        <v>0</v>
      </c>
      <c r="CV57" s="40">
        <f t="shared" si="87"/>
        <v>0</v>
      </c>
      <c r="CW57" s="40">
        <f t="shared" si="87"/>
        <v>0</v>
      </c>
      <c r="CX57" s="40">
        <f t="shared" si="87"/>
        <v>0</v>
      </c>
      <c r="CY57" s="40">
        <f t="shared" si="87"/>
        <v>0</v>
      </c>
      <c r="CZ57" s="40">
        <f t="shared" si="87"/>
        <v>0</v>
      </c>
      <c r="DA57" s="40">
        <f t="shared" si="88"/>
        <v>0</v>
      </c>
      <c r="DB57" s="40">
        <f t="shared" si="88"/>
        <v>0</v>
      </c>
      <c r="DC57" s="40">
        <f t="shared" si="88"/>
        <v>0</v>
      </c>
      <c r="DD57" s="40">
        <f t="shared" si="88"/>
        <v>0</v>
      </c>
      <c r="DE57" s="40">
        <f t="shared" si="88"/>
        <v>0</v>
      </c>
      <c r="DF57" s="40">
        <f t="shared" si="88"/>
        <v>0</v>
      </c>
      <c r="DG57" s="40">
        <f t="shared" si="88"/>
        <v>0</v>
      </c>
      <c r="DH57" s="40">
        <f t="shared" si="88"/>
        <v>0</v>
      </c>
      <c r="DI57" s="40">
        <f t="shared" si="88"/>
        <v>0</v>
      </c>
      <c r="DJ57" s="40">
        <f t="shared" si="88"/>
        <v>0</v>
      </c>
      <c r="DK57" s="40">
        <f t="shared" si="89"/>
        <v>0</v>
      </c>
      <c r="DL57" s="40">
        <f t="shared" si="89"/>
        <v>0</v>
      </c>
      <c r="DM57" s="40">
        <f t="shared" si="89"/>
        <v>0</v>
      </c>
      <c r="DN57" s="40">
        <f t="shared" si="89"/>
        <v>0</v>
      </c>
      <c r="DO57" s="40">
        <f t="shared" si="89"/>
        <v>0</v>
      </c>
      <c r="DP57" s="40">
        <f t="shared" si="89"/>
        <v>0</v>
      </c>
      <c r="DQ57" s="40">
        <f t="shared" si="89"/>
        <v>0</v>
      </c>
      <c r="DR57" s="40">
        <f t="shared" si="89"/>
        <v>0</v>
      </c>
      <c r="DS57" s="40">
        <f t="shared" si="89"/>
        <v>0</v>
      </c>
      <c r="DT57" s="40">
        <f t="shared" si="89"/>
        <v>0</v>
      </c>
      <c r="DU57" s="40">
        <f t="shared" si="90"/>
        <v>0</v>
      </c>
      <c r="DV57" s="40">
        <f t="shared" si="90"/>
        <v>0</v>
      </c>
      <c r="DW57" s="40">
        <f t="shared" si="90"/>
        <v>0</v>
      </c>
      <c r="DX57" s="40">
        <f t="shared" si="90"/>
        <v>0</v>
      </c>
      <c r="DY57" s="40">
        <f t="shared" si="90"/>
        <v>0</v>
      </c>
      <c r="DZ57" s="40">
        <f t="shared" si="90"/>
        <v>0</v>
      </c>
      <c r="EA57" s="40">
        <f t="shared" si="90"/>
        <v>0</v>
      </c>
      <c r="EB57" s="40">
        <f t="shared" si="90"/>
        <v>0</v>
      </c>
      <c r="EC57" s="40">
        <f t="shared" si="90"/>
        <v>0</v>
      </c>
      <c r="ED57" s="40">
        <f t="shared" si="90"/>
        <v>0</v>
      </c>
      <c r="EE57" s="40">
        <f t="shared" si="91"/>
        <v>0</v>
      </c>
      <c r="EF57" s="40">
        <f t="shared" si="91"/>
        <v>0</v>
      </c>
      <c r="EG57" s="40">
        <f t="shared" si="91"/>
        <v>0</v>
      </c>
      <c r="EH57" s="40">
        <f t="shared" si="91"/>
        <v>0</v>
      </c>
      <c r="EI57" s="40">
        <f t="shared" si="91"/>
        <v>0</v>
      </c>
      <c r="EJ57" s="40">
        <f t="shared" si="91"/>
        <v>0</v>
      </c>
      <c r="EK57" s="40">
        <f t="shared" si="91"/>
        <v>0</v>
      </c>
      <c r="EL57" s="40">
        <f t="shared" si="91"/>
        <v>0</v>
      </c>
      <c r="EM57" s="40">
        <f t="shared" si="91"/>
        <v>0</v>
      </c>
      <c r="EN57" s="40">
        <f t="shared" si="91"/>
        <v>0</v>
      </c>
    </row>
    <row r="58" spans="2:144" x14ac:dyDescent="0.35">
      <c r="E58" s="18">
        <f t="shared" si="68"/>
        <v>0</v>
      </c>
      <c r="I58" s="28">
        <f t="shared" si="69"/>
        <v>0</v>
      </c>
      <c r="N58" s="39">
        <f t="shared" si="70"/>
        <v>0</v>
      </c>
      <c r="O58" s="39">
        <f t="shared" si="71"/>
        <v>0</v>
      </c>
      <c r="P58" s="39">
        <f t="shared" si="72"/>
        <v>0</v>
      </c>
      <c r="Q58" s="39">
        <f t="shared" si="73"/>
        <v>0</v>
      </c>
      <c r="R58" s="39">
        <f t="shared" si="74"/>
        <v>0</v>
      </c>
      <c r="S58" s="39">
        <f t="shared" si="75"/>
        <v>0</v>
      </c>
      <c r="T58" s="39">
        <f t="shared" si="76"/>
        <v>0</v>
      </c>
      <c r="U58" s="39">
        <f t="shared" si="77"/>
        <v>0</v>
      </c>
      <c r="V58" s="39">
        <f t="shared" si="78"/>
        <v>0</v>
      </c>
      <c r="W58" s="39">
        <f>IF(D58="",0,Retention_Ratio*LC_Ren*LeaseTermYrs*'Rent Roll'!D58*'Rent Roll'!X58+(1-Retention_Ratio)*LC_Ren*LeaseTermYrs*'Rent Roll'!D58*'Rent Roll'!X58)</f>
        <v>0</v>
      </c>
      <c r="X58" s="25">
        <f t="shared" si="79"/>
        <v>0</v>
      </c>
      <c r="Y58" s="40">
        <f t="shared" si="80"/>
        <v>0</v>
      </c>
      <c r="Z58" s="40">
        <f t="shared" si="80"/>
        <v>0</v>
      </c>
      <c r="AA58" s="40">
        <f t="shared" si="80"/>
        <v>0</v>
      </c>
      <c r="AB58" s="40">
        <f t="shared" si="80"/>
        <v>0</v>
      </c>
      <c r="AC58" s="40">
        <f t="shared" si="80"/>
        <v>0</v>
      </c>
      <c r="AD58" s="40">
        <f t="shared" si="80"/>
        <v>0</v>
      </c>
      <c r="AE58" s="40">
        <f t="shared" si="80"/>
        <v>0</v>
      </c>
      <c r="AF58" s="40">
        <f t="shared" si="80"/>
        <v>0</v>
      </c>
      <c r="AG58" s="40">
        <f t="shared" si="80"/>
        <v>0</v>
      </c>
      <c r="AH58" s="40">
        <f t="shared" si="80"/>
        <v>0</v>
      </c>
      <c r="AI58" s="40">
        <f t="shared" si="81"/>
        <v>0</v>
      </c>
      <c r="AJ58" s="40">
        <f t="shared" si="81"/>
        <v>0</v>
      </c>
      <c r="AK58" s="40">
        <f t="shared" si="81"/>
        <v>0</v>
      </c>
      <c r="AL58" s="40">
        <f t="shared" si="81"/>
        <v>0</v>
      </c>
      <c r="AM58" s="40">
        <f t="shared" si="81"/>
        <v>0</v>
      </c>
      <c r="AN58" s="40">
        <f t="shared" si="81"/>
        <v>0</v>
      </c>
      <c r="AO58" s="40">
        <f t="shared" si="81"/>
        <v>0</v>
      </c>
      <c r="AP58" s="40">
        <f t="shared" si="81"/>
        <v>0</v>
      </c>
      <c r="AQ58" s="40">
        <f t="shared" si="81"/>
        <v>0</v>
      </c>
      <c r="AR58" s="40">
        <f t="shared" si="81"/>
        <v>0</v>
      </c>
      <c r="AS58" s="40">
        <f t="shared" si="82"/>
        <v>0</v>
      </c>
      <c r="AT58" s="40">
        <f t="shared" si="82"/>
        <v>0</v>
      </c>
      <c r="AU58" s="40">
        <f t="shared" si="82"/>
        <v>0</v>
      </c>
      <c r="AV58" s="40">
        <f t="shared" si="82"/>
        <v>0</v>
      </c>
      <c r="AW58" s="40">
        <f t="shared" si="82"/>
        <v>0</v>
      </c>
      <c r="AX58" s="40">
        <f t="shared" si="82"/>
        <v>0</v>
      </c>
      <c r="AY58" s="40">
        <f t="shared" si="82"/>
        <v>0</v>
      </c>
      <c r="AZ58" s="40">
        <f t="shared" si="82"/>
        <v>0</v>
      </c>
      <c r="BA58" s="40">
        <f t="shared" si="82"/>
        <v>0</v>
      </c>
      <c r="BB58" s="40">
        <f t="shared" si="82"/>
        <v>0</v>
      </c>
      <c r="BC58" s="40">
        <f t="shared" si="83"/>
        <v>0</v>
      </c>
      <c r="BD58" s="40">
        <f t="shared" si="83"/>
        <v>0</v>
      </c>
      <c r="BE58" s="40">
        <f t="shared" si="83"/>
        <v>0</v>
      </c>
      <c r="BF58" s="40">
        <f t="shared" si="83"/>
        <v>0</v>
      </c>
      <c r="BG58" s="40">
        <f t="shared" si="83"/>
        <v>0</v>
      </c>
      <c r="BH58" s="40">
        <f t="shared" si="83"/>
        <v>0</v>
      </c>
      <c r="BI58" s="40">
        <f t="shared" si="83"/>
        <v>0</v>
      </c>
      <c r="BJ58" s="40">
        <f t="shared" si="83"/>
        <v>0</v>
      </c>
      <c r="BK58" s="40">
        <f t="shared" si="83"/>
        <v>0</v>
      </c>
      <c r="BL58" s="40">
        <f t="shared" si="83"/>
        <v>0</v>
      </c>
      <c r="BM58" s="40">
        <f t="shared" si="84"/>
        <v>0</v>
      </c>
      <c r="BN58" s="40">
        <f t="shared" si="84"/>
        <v>0</v>
      </c>
      <c r="BO58" s="40">
        <f t="shared" si="84"/>
        <v>0</v>
      </c>
      <c r="BP58" s="40">
        <f t="shared" si="84"/>
        <v>0</v>
      </c>
      <c r="BQ58" s="40">
        <f t="shared" si="84"/>
        <v>0</v>
      </c>
      <c r="BR58" s="40">
        <f t="shared" si="84"/>
        <v>0</v>
      </c>
      <c r="BS58" s="40">
        <f t="shared" si="84"/>
        <v>0</v>
      </c>
      <c r="BT58" s="40">
        <f t="shared" si="84"/>
        <v>0</v>
      </c>
      <c r="BU58" s="40">
        <f t="shared" si="84"/>
        <v>0</v>
      </c>
      <c r="BV58" s="40">
        <f t="shared" si="84"/>
        <v>0</v>
      </c>
      <c r="BW58" s="40">
        <f t="shared" si="85"/>
        <v>0</v>
      </c>
      <c r="BX58" s="40">
        <f t="shared" si="85"/>
        <v>0</v>
      </c>
      <c r="BY58" s="40">
        <f t="shared" si="85"/>
        <v>0</v>
      </c>
      <c r="BZ58" s="40">
        <f t="shared" si="85"/>
        <v>0</v>
      </c>
      <c r="CA58" s="40">
        <f t="shared" si="85"/>
        <v>0</v>
      </c>
      <c r="CB58" s="40">
        <f t="shared" si="85"/>
        <v>0</v>
      </c>
      <c r="CC58" s="40">
        <f t="shared" si="85"/>
        <v>0</v>
      </c>
      <c r="CD58" s="40">
        <f t="shared" si="85"/>
        <v>0</v>
      </c>
      <c r="CE58" s="40">
        <f t="shared" si="85"/>
        <v>0</v>
      </c>
      <c r="CF58" s="40">
        <f t="shared" si="85"/>
        <v>0</v>
      </c>
      <c r="CG58" s="40">
        <f t="shared" si="86"/>
        <v>0</v>
      </c>
      <c r="CH58" s="40">
        <f t="shared" si="86"/>
        <v>0</v>
      </c>
      <c r="CI58" s="40">
        <f t="shared" si="86"/>
        <v>0</v>
      </c>
      <c r="CJ58" s="40">
        <f t="shared" si="86"/>
        <v>0</v>
      </c>
      <c r="CK58" s="40">
        <f t="shared" si="86"/>
        <v>0</v>
      </c>
      <c r="CL58" s="40">
        <f t="shared" si="86"/>
        <v>0</v>
      </c>
      <c r="CM58" s="40">
        <f t="shared" si="86"/>
        <v>0</v>
      </c>
      <c r="CN58" s="40">
        <f t="shared" si="86"/>
        <v>0</v>
      </c>
      <c r="CO58" s="40">
        <f t="shared" si="86"/>
        <v>0</v>
      </c>
      <c r="CP58" s="40">
        <f t="shared" si="86"/>
        <v>0</v>
      </c>
      <c r="CQ58" s="40">
        <f t="shared" si="87"/>
        <v>0</v>
      </c>
      <c r="CR58" s="40">
        <f t="shared" si="87"/>
        <v>0</v>
      </c>
      <c r="CS58" s="40">
        <f t="shared" si="87"/>
        <v>0</v>
      </c>
      <c r="CT58" s="40">
        <f t="shared" si="87"/>
        <v>0</v>
      </c>
      <c r="CU58" s="40">
        <f t="shared" si="87"/>
        <v>0</v>
      </c>
      <c r="CV58" s="40">
        <f t="shared" si="87"/>
        <v>0</v>
      </c>
      <c r="CW58" s="40">
        <f t="shared" si="87"/>
        <v>0</v>
      </c>
      <c r="CX58" s="40">
        <f t="shared" si="87"/>
        <v>0</v>
      </c>
      <c r="CY58" s="40">
        <f t="shared" si="87"/>
        <v>0</v>
      </c>
      <c r="CZ58" s="40">
        <f t="shared" si="87"/>
        <v>0</v>
      </c>
      <c r="DA58" s="40">
        <f t="shared" si="88"/>
        <v>0</v>
      </c>
      <c r="DB58" s="40">
        <f t="shared" si="88"/>
        <v>0</v>
      </c>
      <c r="DC58" s="40">
        <f t="shared" si="88"/>
        <v>0</v>
      </c>
      <c r="DD58" s="40">
        <f t="shared" si="88"/>
        <v>0</v>
      </c>
      <c r="DE58" s="40">
        <f t="shared" si="88"/>
        <v>0</v>
      </c>
      <c r="DF58" s="40">
        <f t="shared" si="88"/>
        <v>0</v>
      </c>
      <c r="DG58" s="40">
        <f t="shared" si="88"/>
        <v>0</v>
      </c>
      <c r="DH58" s="40">
        <f t="shared" si="88"/>
        <v>0</v>
      </c>
      <c r="DI58" s="40">
        <f t="shared" si="88"/>
        <v>0</v>
      </c>
      <c r="DJ58" s="40">
        <f t="shared" si="88"/>
        <v>0</v>
      </c>
      <c r="DK58" s="40">
        <f t="shared" si="89"/>
        <v>0</v>
      </c>
      <c r="DL58" s="40">
        <f t="shared" si="89"/>
        <v>0</v>
      </c>
      <c r="DM58" s="40">
        <f t="shared" si="89"/>
        <v>0</v>
      </c>
      <c r="DN58" s="40">
        <f t="shared" si="89"/>
        <v>0</v>
      </c>
      <c r="DO58" s="40">
        <f t="shared" si="89"/>
        <v>0</v>
      </c>
      <c r="DP58" s="40">
        <f t="shared" si="89"/>
        <v>0</v>
      </c>
      <c r="DQ58" s="40">
        <f t="shared" si="89"/>
        <v>0</v>
      </c>
      <c r="DR58" s="40">
        <f t="shared" si="89"/>
        <v>0</v>
      </c>
      <c r="DS58" s="40">
        <f t="shared" si="89"/>
        <v>0</v>
      </c>
      <c r="DT58" s="40">
        <f t="shared" si="89"/>
        <v>0</v>
      </c>
      <c r="DU58" s="40">
        <f t="shared" si="90"/>
        <v>0</v>
      </c>
      <c r="DV58" s="40">
        <f t="shared" si="90"/>
        <v>0</v>
      </c>
      <c r="DW58" s="40">
        <f t="shared" si="90"/>
        <v>0</v>
      </c>
      <c r="DX58" s="40">
        <f t="shared" si="90"/>
        <v>0</v>
      </c>
      <c r="DY58" s="40">
        <f t="shared" si="90"/>
        <v>0</v>
      </c>
      <c r="DZ58" s="40">
        <f t="shared" si="90"/>
        <v>0</v>
      </c>
      <c r="EA58" s="40">
        <f t="shared" si="90"/>
        <v>0</v>
      </c>
      <c r="EB58" s="40">
        <f t="shared" si="90"/>
        <v>0</v>
      </c>
      <c r="EC58" s="40">
        <f t="shared" si="90"/>
        <v>0</v>
      </c>
      <c r="ED58" s="40">
        <f t="shared" si="90"/>
        <v>0</v>
      </c>
      <c r="EE58" s="40">
        <f t="shared" si="91"/>
        <v>0</v>
      </c>
      <c r="EF58" s="40">
        <f t="shared" si="91"/>
        <v>0</v>
      </c>
      <c r="EG58" s="40">
        <f t="shared" si="91"/>
        <v>0</v>
      </c>
      <c r="EH58" s="40">
        <f t="shared" si="91"/>
        <v>0</v>
      </c>
      <c r="EI58" s="40">
        <f t="shared" si="91"/>
        <v>0</v>
      </c>
      <c r="EJ58" s="40">
        <f t="shared" si="91"/>
        <v>0</v>
      </c>
      <c r="EK58" s="40">
        <f t="shared" si="91"/>
        <v>0</v>
      </c>
      <c r="EL58" s="40">
        <f t="shared" si="91"/>
        <v>0</v>
      </c>
      <c r="EM58" s="40">
        <f t="shared" si="91"/>
        <v>0</v>
      </c>
      <c r="EN58" s="40">
        <f t="shared" si="91"/>
        <v>0</v>
      </c>
    </row>
    <row r="59" spans="2:144" x14ac:dyDescent="0.35">
      <c r="E59" s="18">
        <f t="shared" si="68"/>
        <v>0</v>
      </c>
      <c r="I59" s="28">
        <f t="shared" si="69"/>
        <v>0</v>
      </c>
      <c r="N59" s="39">
        <f t="shared" si="70"/>
        <v>0</v>
      </c>
      <c r="O59" s="39">
        <f t="shared" si="71"/>
        <v>0</v>
      </c>
      <c r="P59" s="39">
        <f t="shared" si="72"/>
        <v>0</v>
      </c>
      <c r="Q59" s="39">
        <f t="shared" si="73"/>
        <v>0</v>
      </c>
      <c r="R59" s="39">
        <f t="shared" si="74"/>
        <v>0</v>
      </c>
      <c r="S59" s="39">
        <f t="shared" si="75"/>
        <v>0</v>
      </c>
      <c r="T59" s="39">
        <f t="shared" si="76"/>
        <v>0</v>
      </c>
      <c r="U59" s="39">
        <f t="shared" si="77"/>
        <v>0</v>
      </c>
      <c r="V59" s="39">
        <f t="shared" si="78"/>
        <v>0</v>
      </c>
      <c r="W59" s="39">
        <f>IF(D59="",0,Retention_Ratio*LC_Ren*LeaseTermYrs*'Rent Roll'!D59*'Rent Roll'!X59+(1-Retention_Ratio)*LC_Ren*LeaseTermYrs*'Rent Roll'!D59*'Rent Roll'!X59)</f>
        <v>0</v>
      </c>
      <c r="X59" s="25">
        <f t="shared" si="79"/>
        <v>0</v>
      </c>
      <c r="Y59" s="40">
        <f t="shared" si="80"/>
        <v>0</v>
      </c>
      <c r="Z59" s="40">
        <f t="shared" si="80"/>
        <v>0</v>
      </c>
      <c r="AA59" s="40">
        <f t="shared" si="80"/>
        <v>0</v>
      </c>
      <c r="AB59" s="40">
        <f t="shared" si="80"/>
        <v>0</v>
      </c>
      <c r="AC59" s="40">
        <f t="shared" si="80"/>
        <v>0</v>
      </c>
      <c r="AD59" s="40">
        <f t="shared" si="80"/>
        <v>0</v>
      </c>
      <c r="AE59" s="40">
        <f t="shared" si="80"/>
        <v>0</v>
      </c>
      <c r="AF59" s="40">
        <f t="shared" si="80"/>
        <v>0</v>
      </c>
      <c r="AG59" s="40">
        <f t="shared" si="80"/>
        <v>0</v>
      </c>
      <c r="AH59" s="40">
        <f t="shared" si="80"/>
        <v>0</v>
      </c>
      <c r="AI59" s="40">
        <f t="shared" si="81"/>
        <v>0</v>
      </c>
      <c r="AJ59" s="40">
        <f t="shared" si="81"/>
        <v>0</v>
      </c>
      <c r="AK59" s="40">
        <f t="shared" si="81"/>
        <v>0</v>
      </c>
      <c r="AL59" s="40">
        <f t="shared" si="81"/>
        <v>0</v>
      </c>
      <c r="AM59" s="40">
        <f t="shared" si="81"/>
        <v>0</v>
      </c>
      <c r="AN59" s="40">
        <f t="shared" si="81"/>
        <v>0</v>
      </c>
      <c r="AO59" s="40">
        <f t="shared" si="81"/>
        <v>0</v>
      </c>
      <c r="AP59" s="40">
        <f t="shared" si="81"/>
        <v>0</v>
      </c>
      <c r="AQ59" s="40">
        <f t="shared" si="81"/>
        <v>0</v>
      </c>
      <c r="AR59" s="40">
        <f t="shared" si="81"/>
        <v>0</v>
      </c>
      <c r="AS59" s="40">
        <f t="shared" si="82"/>
        <v>0</v>
      </c>
      <c r="AT59" s="40">
        <f t="shared" si="82"/>
        <v>0</v>
      </c>
      <c r="AU59" s="40">
        <f t="shared" si="82"/>
        <v>0</v>
      </c>
      <c r="AV59" s="40">
        <f t="shared" si="82"/>
        <v>0</v>
      </c>
      <c r="AW59" s="40">
        <f t="shared" si="82"/>
        <v>0</v>
      </c>
      <c r="AX59" s="40">
        <f t="shared" si="82"/>
        <v>0</v>
      </c>
      <c r="AY59" s="40">
        <f t="shared" si="82"/>
        <v>0</v>
      </c>
      <c r="AZ59" s="40">
        <f t="shared" si="82"/>
        <v>0</v>
      </c>
      <c r="BA59" s="40">
        <f t="shared" si="82"/>
        <v>0</v>
      </c>
      <c r="BB59" s="40">
        <f t="shared" si="82"/>
        <v>0</v>
      </c>
      <c r="BC59" s="40">
        <f t="shared" si="83"/>
        <v>0</v>
      </c>
      <c r="BD59" s="40">
        <f t="shared" si="83"/>
        <v>0</v>
      </c>
      <c r="BE59" s="40">
        <f t="shared" si="83"/>
        <v>0</v>
      </c>
      <c r="BF59" s="40">
        <f t="shared" si="83"/>
        <v>0</v>
      </c>
      <c r="BG59" s="40">
        <f t="shared" si="83"/>
        <v>0</v>
      </c>
      <c r="BH59" s="40">
        <f t="shared" si="83"/>
        <v>0</v>
      </c>
      <c r="BI59" s="40">
        <f t="shared" si="83"/>
        <v>0</v>
      </c>
      <c r="BJ59" s="40">
        <f t="shared" si="83"/>
        <v>0</v>
      </c>
      <c r="BK59" s="40">
        <f t="shared" si="83"/>
        <v>0</v>
      </c>
      <c r="BL59" s="40">
        <f t="shared" si="83"/>
        <v>0</v>
      </c>
      <c r="BM59" s="40">
        <f t="shared" si="84"/>
        <v>0</v>
      </c>
      <c r="BN59" s="40">
        <f t="shared" si="84"/>
        <v>0</v>
      </c>
      <c r="BO59" s="40">
        <f t="shared" si="84"/>
        <v>0</v>
      </c>
      <c r="BP59" s="40">
        <f t="shared" si="84"/>
        <v>0</v>
      </c>
      <c r="BQ59" s="40">
        <f t="shared" si="84"/>
        <v>0</v>
      </c>
      <c r="BR59" s="40">
        <f t="shared" si="84"/>
        <v>0</v>
      </c>
      <c r="BS59" s="40">
        <f t="shared" si="84"/>
        <v>0</v>
      </c>
      <c r="BT59" s="40">
        <f t="shared" si="84"/>
        <v>0</v>
      </c>
      <c r="BU59" s="40">
        <f t="shared" si="84"/>
        <v>0</v>
      </c>
      <c r="BV59" s="40">
        <f t="shared" si="84"/>
        <v>0</v>
      </c>
      <c r="BW59" s="40">
        <f t="shared" si="85"/>
        <v>0</v>
      </c>
      <c r="BX59" s="40">
        <f t="shared" si="85"/>
        <v>0</v>
      </c>
      <c r="BY59" s="40">
        <f t="shared" si="85"/>
        <v>0</v>
      </c>
      <c r="BZ59" s="40">
        <f t="shared" si="85"/>
        <v>0</v>
      </c>
      <c r="CA59" s="40">
        <f t="shared" si="85"/>
        <v>0</v>
      </c>
      <c r="CB59" s="40">
        <f t="shared" si="85"/>
        <v>0</v>
      </c>
      <c r="CC59" s="40">
        <f t="shared" si="85"/>
        <v>0</v>
      </c>
      <c r="CD59" s="40">
        <f t="shared" si="85"/>
        <v>0</v>
      </c>
      <c r="CE59" s="40">
        <f t="shared" si="85"/>
        <v>0</v>
      </c>
      <c r="CF59" s="40">
        <f t="shared" si="85"/>
        <v>0</v>
      </c>
      <c r="CG59" s="40">
        <f t="shared" si="86"/>
        <v>0</v>
      </c>
      <c r="CH59" s="40">
        <f t="shared" si="86"/>
        <v>0</v>
      </c>
      <c r="CI59" s="40">
        <f t="shared" si="86"/>
        <v>0</v>
      </c>
      <c r="CJ59" s="40">
        <f t="shared" si="86"/>
        <v>0</v>
      </c>
      <c r="CK59" s="40">
        <f t="shared" si="86"/>
        <v>0</v>
      </c>
      <c r="CL59" s="40">
        <f t="shared" si="86"/>
        <v>0</v>
      </c>
      <c r="CM59" s="40">
        <f t="shared" si="86"/>
        <v>0</v>
      </c>
      <c r="CN59" s="40">
        <f t="shared" si="86"/>
        <v>0</v>
      </c>
      <c r="CO59" s="40">
        <f t="shared" si="86"/>
        <v>0</v>
      </c>
      <c r="CP59" s="40">
        <f t="shared" si="86"/>
        <v>0</v>
      </c>
      <c r="CQ59" s="40">
        <f t="shared" si="87"/>
        <v>0</v>
      </c>
      <c r="CR59" s="40">
        <f t="shared" si="87"/>
        <v>0</v>
      </c>
      <c r="CS59" s="40">
        <f t="shared" si="87"/>
        <v>0</v>
      </c>
      <c r="CT59" s="40">
        <f t="shared" si="87"/>
        <v>0</v>
      </c>
      <c r="CU59" s="40">
        <f t="shared" si="87"/>
        <v>0</v>
      </c>
      <c r="CV59" s="40">
        <f t="shared" si="87"/>
        <v>0</v>
      </c>
      <c r="CW59" s="40">
        <f t="shared" si="87"/>
        <v>0</v>
      </c>
      <c r="CX59" s="40">
        <f t="shared" si="87"/>
        <v>0</v>
      </c>
      <c r="CY59" s="40">
        <f t="shared" si="87"/>
        <v>0</v>
      </c>
      <c r="CZ59" s="40">
        <f t="shared" si="87"/>
        <v>0</v>
      </c>
      <c r="DA59" s="40">
        <f t="shared" si="88"/>
        <v>0</v>
      </c>
      <c r="DB59" s="40">
        <f t="shared" si="88"/>
        <v>0</v>
      </c>
      <c r="DC59" s="40">
        <f t="shared" si="88"/>
        <v>0</v>
      </c>
      <c r="DD59" s="40">
        <f t="shared" si="88"/>
        <v>0</v>
      </c>
      <c r="DE59" s="40">
        <f t="shared" si="88"/>
        <v>0</v>
      </c>
      <c r="DF59" s="40">
        <f t="shared" si="88"/>
        <v>0</v>
      </c>
      <c r="DG59" s="40">
        <f t="shared" si="88"/>
        <v>0</v>
      </c>
      <c r="DH59" s="40">
        <f t="shared" si="88"/>
        <v>0</v>
      </c>
      <c r="DI59" s="40">
        <f t="shared" si="88"/>
        <v>0</v>
      </c>
      <c r="DJ59" s="40">
        <f t="shared" si="88"/>
        <v>0</v>
      </c>
      <c r="DK59" s="40">
        <f t="shared" si="89"/>
        <v>0</v>
      </c>
      <c r="DL59" s="40">
        <f t="shared" si="89"/>
        <v>0</v>
      </c>
      <c r="DM59" s="40">
        <f t="shared" si="89"/>
        <v>0</v>
      </c>
      <c r="DN59" s="40">
        <f t="shared" si="89"/>
        <v>0</v>
      </c>
      <c r="DO59" s="40">
        <f t="shared" si="89"/>
        <v>0</v>
      </c>
      <c r="DP59" s="40">
        <f t="shared" si="89"/>
        <v>0</v>
      </c>
      <c r="DQ59" s="40">
        <f t="shared" si="89"/>
        <v>0</v>
      </c>
      <c r="DR59" s="40">
        <f t="shared" si="89"/>
        <v>0</v>
      </c>
      <c r="DS59" s="40">
        <f t="shared" si="89"/>
        <v>0</v>
      </c>
      <c r="DT59" s="40">
        <f t="shared" si="89"/>
        <v>0</v>
      </c>
      <c r="DU59" s="40">
        <f t="shared" si="90"/>
        <v>0</v>
      </c>
      <c r="DV59" s="40">
        <f t="shared" si="90"/>
        <v>0</v>
      </c>
      <c r="DW59" s="40">
        <f t="shared" si="90"/>
        <v>0</v>
      </c>
      <c r="DX59" s="40">
        <f t="shared" si="90"/>
        <v>0</v>
      </c>
      <c r="DY59" s="40">
        <f t="shared" si="90"/>
        <v>0</v>
      </c>
      <c r="DZ59" s="40">
        <f t="shared" si="90"/>
        <v>0</v>
      </c>
      <c r="EA59" s="40">
        <f t="shared" si="90"/>
        <v>0</v>
      </c>
      <c r="EB59" s="40">
        <f t="shared" si="90"/>
        <v>0</v>
      </c>
      <c r="EC59" s="40">
        <f t="shared" si="90"/>
        <v>0</v>
      </c>
      <c r="ED59" s="40">
        <f t="shared" si="90"/>
        <v>0</v>
      </c>
      <c r="EE59" s="40">
        <f t="shared" si="91"/>
        <v>0</v>
      </c>
      <c r="EF59" s="40">
        <f t="shared" si="91"/>
        <v>0</v>
      </c>
      <c r="EG59" s="40">
        <f t="shared" si="91"/>
        <v>0</v>
      </c>
      <c r="EH59" s="40">
        <f t="shared" si="91"/>
        <v>0</v>
      </c>
      <c r="EI59" s="40">
        <f t="shared" si="91"/>
        <v>0</v>
      </c>
      <c r="EJ59" s="40">
        <f t="shared" si="91"/>
        <v>0</v>
      </c>
      <c r="EK59" s="40">
        <f t="shared" si="91"/>
        <v>0</v>
      </c>
      <c r="EL59" s="40">
        <f t="shared" si="91"/>
        <v>0</v>
      </c>
      <c r="EM59" s="40">
        <f t="shared" si="91"/>
        <v>0</v>
      </c>
      <c r="EN59" s="40">
        <f t="shared" si="91"/>
        <v>0</v>
      </c>
    </row>
    <row r="61" spans="2:144" x14ac:dyDescent="0.35">
      <c r="B61" s="5" t="s">
        <v>339</v>
      </c>
      <c r="D61" s="41">
        <f>SUM(D10:D59)</f>
        <v>1212800</v>
      </c>
      <c r="E61" s="42">
        <f>SUM(E10:E59)</f>
        <v>1</v>
      </c>
      <c r="I61" s="43">
        <f>SUM(I10:I59)</f>
        <v>6668387.3599999994</v>
      </c>
      <c r="X61" s="44">
        <f t="shared" ref="X61:BC61" si="92">SUM(Y10:Y59)</f>
        <v>514653.11333333334</v>
      </c>
      <c r="Y61" s="44">
        <f t="shared" si="92"/>
        <v>488587.27999999997</v>
      </c>
      <c r="Z61" s="44">
        <f t="shared" si="92"/>
        <v>469570.61333333328</v>
      </c>
      <c r="AA61" s="44">
        <f t="shared" si="92"/>
        <v>422898.9466666666</v>
      </c>
      <c r="AB61" s="44">
        <f t="shared" si="92"/>
        <v>586982.28</v>
      </c>
      <c r="AC61" s="44">
        <f t="shared" si="92"/>
        <v>630669.78</v>
      </c>
      <c r="AD61" s="44">
        <f t="shared" si="92"/>
        <v>662753.11333333328</v>
      </c>
      <c r="AE61" s="44">
        <f t="shared" si="92"/>
        <v>794336.44666666689</v>
      </c>
      <c r="AF61" s="44">
        <f t="shared" si="92"/>
        <v>794336.44666666689</v>
      </c>
      <c r="AG61" s="44">
        <f t="shared" si="92"/>
        <v>788366.44666666677</v>
      </c>
      <c r="AH61" s="44">
        <f t="shared" si="92"/>
        <v>788366.44666666677</v>
      </c>
      <c r="AI61" s="44">
        <f t="shared" si="92"/>
        <v>740567.28</v>
      </c>
      <c r="AJ61" s="44">
        <f t="shared" si="92"/>
        <v>753857.43173333351</v>
      </c>
      <c r="AK61" s="44">
        <f t="shared" si="92"/>
        <v>736436.01173333346</v>
      </c>
      <c r="AL61" s="44">
        <f t="shared" si="92"/>
        <v>736436.01173333346</v>
      </c>
      <c r="AM61" s="44">
        <f t="shared" si="92"/>
        <v>810499.35173333366</v>
      </c>
      <c r="AN61" s="44">
        <f t="shared" si="92"/>
        <v>810499.35173333366</v>
      </c>
      <c r="AO61" s="44">
        <f t="shared" si="92"/>
        <v>862934.01840000018</v>
      </c>
      <c r="AP61" s="44">
        <f t="shared" si="92"/>
        <v>831990.24340000027</v>
      </c>
      <c r="AQ61" s="44">
        <f t="shared" si="92"/>
        <v>831576.66340000031</v>
      </c>
      <c r="AR61" s="44">
        <f t="shared" si="92"/>
        <v>831576.66340000031</v>
      </c>
      <c r="AS61" s="44">
        <f t="shared" si="92"/>
        <v>812444.41340000019</v>
      </c>
      <c r="AT61" s="44">
        <f t="shared" si="92"/>
        <v>860939.41340000019</v>
      </c>
      <c r="AU61" s="44">
        <f t="shared" si="92"/>
        <v>873341.41340000019</v>
      </c>
      <c r="AV61" s="44">
        <f t="shared" si="92"/>
        <v>884515.74606866681</v>
      </c>
      <c r="AW61" s="44">
        <f t="shared" si="92"/>
        <v>906819.17506866681</v>
      </c>
      <c r="AX61" s="44">
        <f t="shared" si="92"/>
        <v>909206.56006866682</v>
      </c>
      <c r="AY61" s="44">
        <f t="shared" si="92"/>
        <v>909206.56006866682</v>
      </c>
      <c r="AZ61" s="44">
        <f t="shared" si="92"/>
        <v>903261.99246866687</v>
      </c>
      <c r="BA61" s="44">
        <f t="shared" si="92"/>
        <v>917662.09246866673</v>
      </c>
      <c r="BB61" s="44">
        <f t="shared" si="92"/>
        <v>917992.81246866682</v>
      </c>
      <c r="BC61" s="44">
        <f t="shared" si="92"/>
        <v>905929.97986300022</v>
      </c>
      <c r="BD61" s="44">
        <f t="shared" ref="BD61:CI61" si="93">SUM(BE10:BE59)</f>
        <v>918890.06986300007</v>
      </c>
      <c r="BE61" s="44">
        <f t="shared" si="93"/>
        <v>920344.91986300016</v>
      </c>
      <c r="BF61" s="44">
        <f t="shared" si="93"/>
        <v>893898.97902966675</v>
      </c>
      <c r="BG61" s="44">
        <f t="shared" si="93"/>
        <v>915935.93206300004</v>
      </c>
      <c r="BH61" s="44">
        <f t="shared" si="93"/>
        <v>912675.50385722355</v>
      </c>
      <c r="BI61" s="44">
        <f t="shared" si="93"/>
        <v>901625.58983055688</v>
      </c>
      <c r="BJ61" s="44">
        <f t="shared" si="93"/>
        <v>944778.13036022359</v>
      </c>
      <c r="BK61" s="44">
        <f t="shared" si="93"/>
        <v>920171.73036022356</v>
      </c>
      <c r="BL61" s="44">
        <f t="shared" si="93"/>
        <v>931511.85356022359</v>
      </c>
      <c r="BM61" s="44">
        <f t="shared" si="93"/>
        <v>949067.97547689022</v>
      </c>
      <c r="BN61" s="44">
        <f t="shared" si="93"/>
        <v>933873.75721689023</v>
      </c>
      <c r="BO61" s="44">
        <f t="shared" si="93"/>
        <v>956467.37769089022</v>
      </c>
      <c r="BP61" s="44">
        <f t="shared" si="93"/>
        <v>970010.67174089013</v>
      </c>
      <c r="BQ61" s="44">
        <f t="shared" si="93"/>
        <v>971509.16724089021</v>
      </c>
      <c r="BR61" s="44">
        <f t="shared" si="93"/>
        <v>995351.69278189016</v>
      </c>
      <c r="BS61" s="44">
        <f t="shared" si="93"/>
        <v>1008894.9868318901</v>
      </c>
      <c r="BT61" s="44">
        <f t="shared" si="93"/>
        <v>1015727.2631551668</v>
      </c>
      <c r="BU61" s="44">
        <f t="shared" si="93"/>
        <v>1017255.8033084166</v>
      </c>
      <c r="BV61" s="44">
        <f t="shared" si="93"/>
        <v>1043749.7926049167</v>
      </c>
      <c r="BW61" s="44">
        <f t="shared" si="93"/>
        <v>1044291.5243669166</v>
      </c>
      <c r="BX61" s="44">
        <f t="shared" si="93"/>
        <v>1047202.1315855834</v>
      </c>
      <c r="BY61" s="44">
        <f t="shared" si="93"/>
        <v>1047472.9974665834</v>
      </c>
      <c r="BZ61" s="44">
        <f t="shared" si="93"/>
        <v>1012545.9253685834</v>
      </c>
      <c r="CA61" s="44">
        <f t="shared" si="93"/>
        <v>1013488.1239115834</v>
      </c>
      <c r="CB61" s="44">
        <f t="shared" si="93"/>
        <v>915271.73151375004</v>
      </c>
      <c r="CC61" s="44">
        <f t="shared" si="93"/>
        <v>918343.14325874997</v>
      </c>
      <c r="CD61" s="44">
        <f t="shared" si="93"/>
        <v>969949.99631772994</v>
      </c>
      <c r="CE61" s="44">
        <f t="shared" si="93"/>
        <v>969949.99631772994</v>
      </c>
      <c r="CF61" s="44">
        <f t="shared" si="93"/>
        <v>1092906.0983753225</v>
      </c>
      <c r="CG61" s="44">
        <f t="shared" si="93"/>
        <v>1095444.3605527901</v>
      </c>
      <c r="CH61" s="44">
        <f t="shared" si="93"/>
        <v>1098053.120601685</v>
      </c>
      <c r="CI61" s="44">
        <f t="shared" si="93"/>
        <v>1098611.104316545</v>
      </c>
      <c r="CJ61" s="44">
        <f t="shared" ref="CJ61:DO61" si="94">SUM(CK10:CK59)</f>
        <v>1101619.6292680583</v>
      </c>
      <c r="CK61" s="44">
        <f t="shared" si="94"/>
        <v>1101898.6211254883</v>
      </c>
      <c r="CL61" s="44">
        <f t="shared" si="94"/>
        <v>1103594.8693435683</v>
      </c>
      <c r="CM61" s="44">
        <f t="shared" si="94"/>
        <v>1104570.7511604782</v>
      </c>
      <c r="CN61" s="44">
        <f t="shared" si="94"/>
        <v>1104570.7511604782</v>
      </c>
      <c r="CO61" s="44">
        <f t="shared" si="94"/>
        <v>1109746.3525841283</v>
      </c>
      <c r="CP61" s="44">
        <f t="shared" si="94"/>
        <v>1111492.3848888015</v>
      </c>
      <c r="CQ61" s="44">
        <f t="shared" si="94"/>
        <v>1102664.7015853457</v>
      </c>
      <c r="CR61" s="44">
        <f t="shared" si="94"/>
        <v>1104012.2568926536</v>
      </c>
      <c r="CS61" s="44">
        <f t="shared" si="94"/>
        <v>1106641.88543079</v>
      </c>
      <c r="CT61" s="44">
        <f t="shared" si="94"/>
        <v>1109328.9082811517</v>
      </c>
      <c r="CU61" s="44">
        <f t="shared" si="94"/>
        <v>1130617.9050720807</v>
      </c>
      <c r="CV61" s="44">
        <f t="shared" si="94"/>
        <v>1133727.7092690773</v>
      </c>
      <c r="CW61" s="44">
        <f t="shared" si="94"/>
        <v>1134015.0708822303</v>
      </c>
      <c r="CX61" s="44">
        <f t="shared" si="94"/>
        <v>1135779.1690290335</v>
      </c>
      <c r="CY61" s="44">
        <f t="shared" si="94"/>
        <v>1136789.9613107755</v>
      </c>
      <c r="CZ61" s="44">
        <f t="shared" si="94"/>
        <v>1136789.9613107755</v>
      </c>
      <c r="DA61" s="44">
        <f t="shared" si="94"/>
        <v>1142156.6892526119</v>
      </c>
      <c r="DB61" s="44">
        <f t="shared" si="94"/>
        <v>1143963.1428425901</v>
      </c>
      <c r="DC61" s="44">
        <f t="shared" si="94"/>
        <v>1148757.2604372783</v>
      </c>
      <c r="DD61" s="44">
        <f t="shared" si="94"/>
        <v>1150145.2424038057</v>
      </c>
      <c r="DE61" s="44">
        <f t="shared" si="94"/>
        <v>1152869.5870332445</v>
      </c>
      <c r="DF61" s="44">
        <f t="shared" si="94"/>
        <v>1156465.7915117021</v>
      </c>
      <c r="DG61" s="44">
        <f t="shared" si="94"/>
        <v>1157057.7564347971</v>
      </c>
      <c r="DH61" s="44">
        <f t="shared" si="94"/>
        <v>1160272.3191945197</v>
      </c>
      <c r="DI61" s="44">
        <f t="shared" si="94"/>
        <v>1160568.3016560671</v>
      </c>
      <c r="DJ61" s="44">
        <f t="shared" si="94"/>
        <v>1162402.9637287424</v>
      </c>
      <c r="DK61" s="44">
        <f t="shared" si="94"/>
        <v>1163449.9391496745</v>
      </c>
      <c r="DL61" s="44">
        <f t="shared" si="94"/>
        <v>1163449.9391496745</v>
      </c>
      <c r="DM61" s="44">
        <f t="shared" si="94"/>
        <v>1169014.9617442624</v>
      </c>
      <c r="DN61" s="44">
        <f t="shared" si="94"/>
        <v>1170883.9588392221</v>
      </c>
      <c r="DO61" s="44">
        <f t="shared" si="94"/>
        <v>1175862.7682058762</v>
      </c>
      <c r="DP61" s="44">
        <f t="shared" ref="DP61:EM61" si="95">SUM(DQ10:DQ59)</f>
        <v>1177292.3896313992</v>
      </c>
      <c r="DQ61" s="44">
        <f t="shared" si="95"/>
        <v>1180114.9249242865</v>
      </c>
      <c r="DR61" s="44">
        <f t="shared" si="95"/>
        <v>1183827.3012465236</v>
      </c>
      <c r="DS61" s="44">
        <f t="shared" si="95"/>
        <v>1184437.0251173114</v>
      </c>
      <c r="DT61" s="44">
        <f t="shared" si="95"/>
        <v>1187759.9477741139</v>
      </c>
      <c r="DU61" s="44">
        <f t="shared" si="95"/>
        <v>1188064.8097095077</v>
      </c>
      <c r="DV61" s="44">
        <f t="shared" si="95"/>
        <v>1189972.85826509</v>
      </c>
      <c r="DW61" s="44">
        <f t="shared" si="95"/>
        <v>1191057.3366942175</v>
      </c>
      <c r="DX61" s="44">
        <f t="shared" si="95"/>
        <v>1191057.3366942175</v>
      </c>
      <c r="DY61" s="44">
        <f t="shared" si="95"/>
        <v>1196828.0944937186</v>
      </c>
      <c r="DZ61" s="44">
        <f t="shared" si="95"/>
        <v>1198761.8329420679</v>
      </c>
      <c r="EA61" s="44">
        <f t="shared" si="95"/>
        <v>1203932.5095636118</v>
      </c>
      <c r="EB61" s="44">
        <f t="shared" si="95"/>
        <v>1205405.0196319006</v>
      </c>
      <c r="EC61" s="44">
        <f t="shared" si="95"/>
        <v>1208329.3497211218</v>
      </c>
      <c r="ED61" s="44">
        <f t="shared" si="95"/>
        <v>1212161.7144708291</v>
      </c>
      <c r="EE61" s="44">
        <f t="shared" si="95"/>
        <v>1212789.7300577406</v>
      </c>
      <c r="EF61" s="44">
        <f t="shared" si="95"/>
        <v>1216224.7403291068</v>
      </c>
      <c r="EG61" s="44">
        <f t="shared" si="95"/>
        <v>1216538.7481225624</v>
      </c>
      <c r="EH61" s="44">
        <f t="shared" si="95"/>
        <v>1218523.1186203682</v>
      </c>
      <c r="EI61" s="44">
        <f t="shared" si="95"/>
        <v>1219646.4688977594</v>
      </c>
      <c r="EJ61" s="44">
        <f t="shared" si="95"/>
        <v>1219646.4688977594</v>
      </c>
      <c r="EK61" s="44">
        <f t="shared" si="95"/>
        <v>1225630.6853394045</v>
      </c>
      <c r="EL61" s="44">
        <f t="shared" si="95"/>
        <v>1227631.4413508917</v>
      </c>
      <c r="EM61" s="44">
        <f t="shared" si="95"/>
        <v>1233001.4413639279</v>
      </c>
    </row>
    <row r="63" spans="2:144" x14ac:dyDescent="0.35">
      <c r="B63" s="5" t="s">
        <v>340</v>
      </c>
      <c r="D63" s="45" cm="1">
        <f t="array" ref="D63">IFERROR(SUMPRODUCT((O10:O59&gt;0)*D10:D59*O10:O59)/12/SUMPRODUCT((O10:O59&gt;0)*D10:D59),0)</f>
        <v>2.0737224684394309</v>
      </c>
    </row>
    <row r="64" spans="2:144" x14ac:dyDescent="0.35">
      <c r="B64" s="5" t="s">
        <v>341</v>
      </c>
      <c r="D64" s="46">
        <f>SUMIF(H10:H60,"&gt;0",D10:D60)/D61</f>
        <v>0.85405672823218992</v>
      </c>
    </row>
  </sheetData>
  <mergeCells count="2">
    <mergeCell ref="B2:EM2"/>
    <mergeCell ref="B3:EM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1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31" sqref="D31"/>
    </sheetView>
  </sheetViews>
  <sheetFormatPr defaultColWidth="8.6328125" defaultRowHeight="14.5" x14ac:dyDescent="0.35"/>
  <cols>
    <col min="1" max="1" width="2" customWidth="1"/>
    <col min="2" max="2" width="42" customWidth="1"/>
    <col min="3" max="14" width="14" customWidth="1"/>
  </cols>
  <sheetData>
    <row r="2" spans="2:14" ht="25.5" customHeight="1" x14ac:dyDescent="0.35">
      <c r="B2" s="56" t="s">
        <v>342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2:14" x14ac:dyDescent="0.35">
      <c r="C3">
        <v>0</v>
      </c>
      <c r="D3">
        <f>C3+1</f>
        <v>1</v>
      </c>
      <c r="E3">
        <f t="shared" ref="E3:N3" si="0">D3+1</f>
        <v>2</v>
      </c>
      <c r="F3">
        <f t="shared" si="0"/>
        <v>3</v>
      </c>
      <c r="G3">
        <f t="shared" si="0"/>
        <v>4</v>
      </c>
      <c r="H3">
        <f t="shared" si="0"/>
        <v>5</v>
      </c>
      <c r="I3">
        <f t="shared" si="0"/>
        <v>6</v>
      </c>
      <c r="J3">
        <f t="shared" si="0"/>
        <v>7</v>
      </c>
      <c r="K3">
        <f t="shared" si="0"/>
        <v>8</v>
      </c>
      <c r="L3">
        <f t="shared" si="0"/>
        <v>9</v>
      </c>
      <c r="M3">
        <f t="shared" si="0"/>
        <v>10</v>
      </c>
      <c r="N3">
        <f t="shared" si="0"/>
        <v>11</v>
      </c>
    </row>
    <row r="4" spans="2:14" ht="21.75" customHeight="1" x14ac:dyDescent="0.35">
      <c r="B4" s="5" t="s">
        <v>343</v>
      </c>
      <c r="C4" s="35" t="s">
        <v>344</v>
      </c>
      <c r="D4" s="35" t="s">
        <v>82</v>
      </c>
      <c r="E4" s="35" t="s">
        <v>83</v>
      </c>
      <c r="F4" s="35" t="s">
        <v>84</v>
      </c>
      <c r="G4" s="35" t="s">
        <v>85</v>
      </c>
      <c r="H4" s="35" t="s">
        <v>86</v>
      </c>
      <c r="I4" s="35" t="s">
        <v>87</v>
      </c>
      <c r="J4" s="35" t="s">
        <v>88</v>
      </c>
      <c r="K4" s="35" t="s">
        <v>89</v>
      </c>
      <c r="L4" s="35" t="s">
        <v>90</v>
      </c>
      <c r="M4" s="35" t="s">
        <v>91</v>
      </c>
      <c r="N4" s="35" t="s">
        <v>345</v>
      </c>
    </row>
    <row r="5" spans="2:14" x14ac:dyDescent="0.35">
      <c r="B5" s="1" t="s">
        <v>346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spans="2:14" x14ac:dyDescent="0.35">
      <c r="B6" s="2" t="s">
        <v>347</v>
      </c>
      <c r="D6" s="9">
        <f>SUM('Rent Roll'!X61:AI61)</f>
        <v>7682088.1933333362</v>
      </c>
      <c r="E6" s="9">
        <f>SUM('Rent Roll'!AJ61:AU61)</f>
        <v>9752530.9874666687</v>
      </c>
      <c r="F6" s="9">
        <f>SUM('Rent Roll'!AV61:BG61)</f>
        <v>10903664.819362335</v>
      </c>
      <c r="G6" s="9">
        <f>SUM('Rent Roll'!BH61:BS61)</f>
        <v>11395938.436948681</v>
      </c>
      <c r="H6" s="9">
        <f>SUM('Rent Roll'!BT61:CE61)</f>
        <v>12015248.42917571</v>
      </c>
      <c r="I6" s="9">
        <f>SUM('Rent Roll'!CF61:CQ61)</f>
        <v>13225172.744962689</v>
      </c>
      <c r="J6" s="9">
        <f>SUM('Rent Roll'!CR61:DC61)</f>
        <v>13562579.920011049</v>
      </c>
      <c r="K6" s="9">
        <f>SUM('Rent Roll'!DD61:DO61)</f>
        <v>13942443.529051589</v>
      </c>
      <c r="L6" s="9">
        <f>SUM('Rent Roll'!DP61:EA61)</f>
        <v>14273106.367056068</v>
      </c>
      <c r="M6" s="9">
        <f>SUM('Rent Roll'!EB61:EM61)</f>
        <v>14615528.926803373</v>
      </c>
      <c r="N6" s="28">
        <f>M6*(1+INDEX(MktRentGrowth,10))</f>
        <v>15053994.794607474</v>
      </c>
    </row>
    <row r="7" spans="2:14" x14ac:dyDescent="0.35">
      <c r="B7" s="48" t="s">
        <v>348</v>
      </c>
    </row>
    <row r="9" spans="2:14" x14ac:dyDescent="0.35">
      <c r="B9" s="5" t="s">
        <v>349</v>
      </c>
      <c r="D9" s="43">
        <f t="shared" ref="D9:N9" si="1">D6</f>
        <v>7682088.1933333362</v>
      </c>
      <c r="E9" s="43">
        <f t="shared" si="1"/>
        <v>9752530.9874666687</v>
      </c>
      <c r="F9" s="43">
        <f t="shared" si="1"/>
        <v>10903664.819362335</v>
      </c>
      <c r="G9" s="43">
        <f t="shared" si="1"/>
        <v>11395938.436948681</v>
      </c>
      <c r="H9" s="43">
        <f t="shared" si="1"/>
        <v>12015248.42917571</v>
      </c>
      <c r="I9" s="43">
        <f t="shared" si="1"/>
        <v>13225172.744962689</v>
      </c>
      <c r="J9" s="43">
        <f t="shared" si="1"/>
        <v>13562579.920011049</v>
      </c>
      <c r="K9" s="43">
        <f t="shared" si="1"/>
        <v>13942443.529051589</v>
      </c>
      <c r="L9" s="43">
        <f t="shared" si="1"/>
        <v>14273106.367056068</v>
      </c>
      <c r="M9" s="43">
        <f t="shared" si="1"/>
        <v>14615528.926803373</v>
      </c>
      <c r="N9" s="43">
        <f t="shared" si="1"/>
        <v>15053994.794607474</v>
      </c>
    </row>
    <row r="11" spans="2:14" x14ac:dyDescent="0.35">
      <c r="B11" s="2" t="s">
        <v>350</v>
      </c>
      <c r="D11" s="28">
        <f t="shared" ref="D11:N11" si="2">(D18+D19+D20)*RecoveryPct</f>
        <v>1855584</v>
      </c>
      <c r="E11" s="28">
        <f t="shared" si="2"/>
        <v>1911251.52</v>
      </c>
      <c r="F11" s="28">
        <f t="shared" si="2"/>
        <v>1968589.0655999999</v>
      </c>
      <c r="G11" s="28">
        <f t="shared" si="2"/>
        <v>2027646.7375679999</v>
      </c>
      <c r="H11" s="28">
        <f t="shared" si="2"/>
        <v>2088476.1396950397</v>
      </c>
      <c r="I11" s="28">
        <f t="shared" si="2"/>
        <v>2151130.4238858912</v>
      </c>
      <c r="J11" s="28">
        <f t="shared" si="2"/>
        <v>2215664.336602468</v>
      </c>
      <c r="K11" s="28">
        <f t="shared" si="2"/>
        <v>2282134.2667005421</v>
      </c>
      <c r="L11" s="28">
        <f t="shared" si="2"/>
        <v>2350598.2947015576</v>
      </c>
      <c r="M11" s="28">
        <f t="shared" si="2"/>
        <v>2421116.2435426051</v>
      </c>
      <c r="N11" s="28">
        <f t="shared" si="2"/>
        <v>2493749.7308488828</v>
      </c>
    </row>
    <row r="12" spans="2:14" x14ac:dyDescent="0.35">
      <c r="B12" s="2" t="s">
        <v>351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</row>
    <row r="13" spans="2:14" x14ac:dyDescent="0.35">
      <c r="B13" s="5" t="s">
        <v>352</v>
      </c>
      <c r="D13" s="43">
        <f t="shared" ref="D13:N13" si="3">D9+D11+D12</f>
        <v>9537672.1933333352</v>
      </c>
      <c r="E13" s="43">
        <f t="shared" si="3"/>
        <v>11663782.507466668</v>
      </c>
      <c r="F13" s="43">
        <f t="shared" si="3"/>
        <v>12872253.884962335</v>
      </c>
      <c r="G13" s="43">
        <f t="shared" si="3"/>
        <v>13423585.174516682</v>
      </c>
      <c r="H13" s="43">
        <f t="shared" si="3"/>
        <v>14103724.568870749</v>
      </c>
      <c r="I13" s="43">
        <f t="shared" si="3"/>
        <v>15376303.16884858</v>
      </c>
      <c r="J13" s="43">
        <f t="shared" si="3"/>
        <v>15778244.256613517</v>
      </c>
      <c r="K13" s="43">
        <f t="shared" si="3"/>
        <v>16224577.79575213</v>
      </c>
      <c r="L13" s="43">
        <f t="shared" si="3"/>
        <v>16623704.661757626</v>
      </c>
      <c r="M13" s="43">
        <f t="shared" si="3"/>
        <v>17036645.170345977</v>
      </c>
      <c r="N13" s="43">
        <f t="shared" si="3"/>
        <v>17547744.525456358</v>
      </c>
    </row>
    <row r="14" spans="2:14" x14ac:dyDescent="0.35">
      <c r="B14" s="2" t="s">
        <v>353</v>
      </c>
      <c r="D14" s="28">
        <f t="shared" ref="D14:N14" si="4">-D13*GenVac</f>
        <v>-190753.4438666667</v>
      </c>
      <c r="E14" s="28">
        <f t="shared" si="4"/>
        <v>-233275.65014933338</v>
      </c>
      <c r="F14" s="28">
        <f t="shared" si="4"/>
        <v>-257445.0776992467</v>
      </c>
      <c r="G14" s="28">
        <f t="shared" si="4"/>
        <v>-268471.70349033363</v>
      </c>
      <c r="H14" s="28">
        <f t="shared" si="4"/>
        <v>-282074.49137741502</v>
      </c>
      <c r="I14" s="28">
        <f t="shared" si="4"/>
        <v>-307526.06337697158</v>
      </c>
      <c r="J14" s="28">
        <f t="shared" si="4"/>
        <v>-315564.88513227034</v>
      </c>
      <c r="K14" s="28">
        <f t="shared" si="4"/>
        <v>-324491.55591504264</v>
      </c>
      <c r="L14" s="28">
        <f t="shared" si="4"/>
        <v>-332474.09323515254</v>
      </c>
      <c r="M14" s="28">
        <f t="shared" si="4"/>
        <v>-340732.90340691956</v>
      </c>
      <c r="N14" s="28">
        <f t="shared" si="4"/>
        <v>-350954.89050912717</v>
      </c>
    </row>
    <row r="15" spans="2:14" x14ac:dyDescent="0.35">
      <c r="B15" s="5" t="s">
        <v>354</v>
      </c>
      <c r="D15" s="43">
        <f t="shared" ref="D15:N15" si="5">D13+D14</f>
        <v>9346918.7494666688</v>
      </c>
      <c r="E15" s="43">
        <f t="shared" si="5"/>
        <v>11430506.857317334</v>
      </c>
      <c r="F15" s="43">
        <f t="shared" si="5"/>
        <v>12614808.807263089</v>
      </c>
      <c r="G15" s="43">
        <f t="shared" si="5"/>
        <v>13155113.471026348</v>
      </c>
      <c r="H15" s="43">
        <f t="shared" si="5"/>
        <v>13821650.077493334</v>
      </c>
      <c r="I15" s="43">
        <f t="shared" si="5"/>
        <v>15068777.105471607</v>
      </c>
      <c r="J15" s="43">
        <f t="shared" si="5"/>
        <v>15462679.371481247</v>
      </c>
      <c r="K15" s="43">
        <f t="shared" si="5"/>
        <v>15900086.239837088</v>
      </c>
      <c r="L15" s="43">
        <f t="shared" si="5"/>
        <v>16291230.568522474</v>
      </c>
      <c r="M15" s="43">
        <f t="shared" si="5"/>
        <v>16695912.266939057</v>
      </c>
      <c r="N15" s="43">
        <f t="shared" si="5"/>
        <v>17196789.634947229</v>
      </c>
    </row>
    <row r="17" spans="2:14" x14ac:dyDescent="0.35">
      <c r="B17" s="1" t="s">
        <v>355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  <row r="18" spans="2:14" x14ac:dyDescent="0.35">
      <c r="B18" s="2" t="s">
        <v>356</v>
      </c>
      <c r="D18" s="28">
        <f>CAM_PSF*TotalSF*(1+ExpGrowth)^0</f>
        <v>485120</v>
      </c>
      <c r="E18" s="28">
        <f>CAM_PSF*TotalSF*(1+ExpGrowth)^1</f>
        <v>499673.60000000003</v>
      </c>
      <c r="F18" s="28">
        <f>CAM_PSF*TotalSF*(1+ExpGrowth)^2</f>
        <v>514663.80799999996</v>
      </c>
      <c r="G18" s="28">
        <f>CAM_PSF*TotalSF*(1+ExpGrowth)^3</f>
        <v>530103.72224000003</v>
      </c>
      <c r="H18" s="28">
        <f>CAM_PSF*TotalSF*(1+ExpGrowth)^4</f>
        <v>546006.83390719991</v>
      </c>
      <c r="I18" s="28">
        <f>CAM_PSF*TotalSF*(1+ExpGrowth)^5</f>
        <v>562387.03892441595</v>
      </c>
      <c r="J18" s="28">
        <f>CAM_PSF*TotalSF*(1+ExpGrowth)^6</f>
        <v>579258.65009214845</v>
      </c>
      <c r="K18" s="28">
        <f>CAM_PSF*TotalSF*(1+ExpGrowth)^7</f>
        <v>596636.4095949129</v>
      </c>
      <c r="L18" s="28">
        <f>CAM_PSF*TotalSF*(1+ExpGrowth)^8</f>
        <v>614535.5018827602</v>
      </c>
      <c r="M18" s="28">
        <f>CAM_PSF*TotalSF*(1+ExpGrowth)^9</f>
        <v>632971.56693924312</v>
      </c>
      <c r="N18" s="28">
        <f>CAM_PSF*TotalSF*(1+ExpGrowth)^10</f>
        <v>651960.71394742036</v>
      </c>
    </row>
    <row r="19" spans="2:14" x14ac:dyDescent="0.35">
      <c r="B19" s="2" t="s">
        <v>357</v>
      </c>
      <c r="D19" s="28">
        <f>Ins_PSF*TotalSF*(1+ExpGrowth)^0</f>
        <v>218304</v>
      </c>
      <c r="E19" s="28">
        <f>Ins_PSF*TotalSF*(1+ExpGrowth)^1</f>
        <v>224853.12</v>
      </c>
      <c r="F19" s="28">
        <f>Ins_PSF*TotalSF*(1+ExpGrowth)^2</f>
        <v>231598.71359999999</v>
      </c>
      <c r="G19" s="28">
        <f>Ins_PSF*TotalSF*(1+ExpGrowth)^3</f>
        <v>238546.67500799999</v>
      </c>
      <c r="H19" s="28">
        <f>Ins_PSF*TotalSF*(1+ExpGrowth)^4</f>
        <v>245703.07525823999</v>
      </c>
      <c r="I19" s="28">
        <f>Ins_PSF*TotalSF*(1+ExpGrowth)^5</f>
        <v>253074.16751598715</v>
      </c>
      <c r="J19" s="28">
        <f>Ins_PSF*TotalSF*(1+ExpGrowth)^6</f>
        <v>260666.3925414668</v>
      </c>
      <c r="K19" s="28">
        <f>Ins_PSF*TotalSF*(1+ExpGrowth)^7</f>
        <v>268486.38431771082</v>
      </c>
      <c r="L19" s="28">
        <f>Ins_PSF*TotalSF*(1+ExpGrowth)^8</f>
        <v>276540.97584724211</v>
      </c>
      <c r="M19" s="28">
        <f>Ins_PSF*TotalSF*(1+ExpGrowth)^9</f>
        <v>284837.20512265939</v>
      </c>
      <c r="N19" s="28">
        <f>Ins_PSF*TotalSF*(1+ExpGrowth)^10</f>
        <v>293382.32127633918</v>
      </c>
    </row>
    <row r="20" spans="2:14" x14ac:dyDescent="0.35">
      <c r="B20" s="2" t="s">
        <v>358</v>
      </c>
      <c r="D20" s="28">
        <f>RET_PSF*TotalSF*(1+ExpGrowth)^0</f>
        <v>1152160</v>
      </c>
      <c r="E20" s="28">
        <f>RET_PSF*TotalSF*(1+ExpGrowth)^1</f>
        <v>1186724.8</v>
      </c>
      <c r="F20" s="28">
        <f>RET_PSF*TotalSF*(1+ExpGrowth)^2</f>
        <v>1222326.544</v>
      </c>
      <c r="G20" s="28">
        <f>RET_PSF*TotalSF*(1+ExpGrowth)^3</f>
        <v>1258996.34032</v>
      </c>
      <c r="H20" s="28">
        <f>RET_PSF*TotalSF*(1+ExpGrowth)^4</f>
        <v>1296766.2305295998</v>
      </c>
      <c r="I20" s="28">
        <f>RET_PSF*TotalSF*(1+ExpGrowth)^5</f>
        <v>1335669.2174454879</v>
      </c>
      <c r="J20" s="28">
        <f>RET_PSF*TotalSF*(1+ExpGrowth)^6</f>
        <v>1375739.2939688526</v>
      </c>
      <c r="K20" s="28">
        <f>RET_PSF*TotalSF*(1+ExpGrowth)^7</f>
        <v>1417011.4727879183</v>
      </c>
      <c r="L20" s="28">
        <f>RET_PSF*TotalSF*(1+ExpGrowth)^8</f>
        <v>1459521.8169715556</v>
      </c>
      <c r="M20" s="28">
        <f>RET_PSF*TotalSF*(1+ExpGrowth)^9</f>
        <v>1503307.4714807023</v>
      </c>
      <c r="N20" s="28">
        <f>RET_PSF*TotalSF*(1+ExpGrowth)^10</f>
        <v>1548406.6956251233</v>
      </c>
    </row>
    <row r="21" spans="2:14" x14ac:dyDescent="0.35">
      <c r="B21" s="2" t="s">
        <v>428</v>
      </c>
      <c r="D21" s="28">
        <f t="shared" ref="D21:N21" si="6">UT_PSF*TotalSF*(1+ExpGrowth)^C3</f>
        <v>121280</v>
      </c>
      <c r="E21" s="28">
        <f t="shared" si="6"/>
        <v>124918.40000000001</v>
      </c>
      <c r="F21" s="28">
        <f t="shared" si="6"/>
        <v>128665.95199999999</v>
      </c>
      <c r="G21" s="28">
        <f t="shared" si="6"/>
        <v>132525.93056000001</v>
      </c>
      <c r="H21" s="28">
        <f t="shared" si="6"/>
        <v>136501.70847679998</v>
      </c>
      <c r="I21" s="28">
        <f t="shared" si="6"/>
        <v>140596.75973110399</v>
      </c>
      <c r="J21" s="28">
        <f t="shared" si="6"/>
        <v>144814.66252303711</v>
      </c>
      <c r="K21" s="28">
        <f t="shared" si="6"/>
        <v>149159.10239872822</v>
      </c>
      <c r="L21" s="28">
        <f t="shared" si="6"/>
        <v>153633.87547069005</v>
      </c>
      <c r="M21" s="28">
        <f t="shared" si="6"/>
        <v>158242.89173481078</v>
      </c>
      <c r="N21" s="28">
        <f t="shared" si="6"/>
        <v>162990.17848685509</v>
      </c>
    </row>
    <row r="22" spans="2:14" x14ac:dyDescent="0.35">
      <c r="B22" s="2" t="s">
        <v>359</v>
      </c>
      <c r="D22" s="28">
        <f t="shared" ref="D22:N22" si="7">D15*MgmtFeePct</f>
        <v>280407.56248400005</v>
      </c>
      <c r="E22" s="28">
        <f t="shared" si="7"/>
        <v>342915.20571951999</v>
      </c>
      <c r="F22" s="28">
        <f t="shared" si="7"/>
        <v>378444.26421789266</v>
      </c>
      <c r="G22" s="28">
        <f t="shared" si="7"/>
        <v>394653.40413079044</v>
      </c>
      <c r="H22" s="28">
        <f t="shared" si="7"/>
        <v>414649.50232480001</v>
      </c>
      <c r="I22" s="28">
        <f t="shared" si="7"/>
        <v>452063.31316414819</v>
      </c>
      <c r="J22" s="28">
        <f t="shared" si="7"/>
        <v>463880.38114443742</v>
      </c>
      <c r="K22" s="28">
        <f t="shared" si="7"/>
        <v>477002.5871951126</v>
      </c>
      <c r="L22" s="28">
        <f t="shared" si="7"/>
        <v>488736.91705567419</v>
      </c>
      <c r="M22" s="28">
        <f t="shared" si="7"/>
        <v>500877.36800817167</v>
      </c>
      <c r="N22" s="28">
        <f t="shared" si="7"/>
        <v>515903.68904841685</v>
      </c>
    </row>
    <row r="23" spans="2:14" x14ac:dyDescent="0.35">
      <c r="B23" s="5" t="s">
        <v>360</v>
      </c>
      <c r="D23" s="43">
        <f>SUM(D18:D22)</f>
        <v>2257271.5624839999</v>
      </c>
      <c r="E23" s="43">
        <f t="shared" ref="E23:N23" si="8">SUM(E18:E22)</f>
        <v>2379085.1257195198</v>
      </c>
      <c r="F23" s="43">
        <f t="shared" si="8"/>
        <v>2475699.2818178926</v>
      </c>
      <c r="G23" s="43">
        <f t="shared" si="8"/>
        <v>2554826.07225879</v>
      </c>
      <c r="H23" s="43">
        <f t="shared" si="8"/>
        <v>2639627.3504966395</v>
      </c>
      <c r="I23" s="43">
        <f t="shared" si="8"/>
        <v>2743790.4967811434</v>
      </c>
      <c r="J23" s="43">
        <f t="shared" si="8"/>
        <v>2824359.3802699428</v>
      </c>
      <c r="K23" s="43">
        <f t="shared" si="8"/>
        <v>2908295.9562943829</v>
      </c>
      <c r="L23" s="43">
        <f t="shared" si="8"/>
        <v>2992969.0872279219</v>
      </c>
      <c r="M23" s="43">
        <f t="shared" si="8"/>
        <v>3080236.5032855873</v>
      </c>
      <c r="N23" s="43">
        <f t="shared" si="8"/>
        <v>3172643.598384155</v>
      </c>
    </row>
    <row r="25" spans="2:14" x14ac:dyDescent="0.35">
      <c r="B25" s="5" t="s">
        <v>361</v>
      </c>
      <c r="D25" s="50">
        <f t="shared" ref="D25:N25" si="9">D15-D23</f>
        <v>7089647.1869826689</v>
      </c>
      <c r="E25" s="50">
        <f t="shared" si="9"/>
        <v>9051421.7315978147</v>
      </c>
      <c r="F25" s="50">
        <f t="shared" si="9"/>
        <v>10139109.525445197</v>
      </c>
      <c r="G25" s="50">
        <f t="shared" si="9"/>
        <v>10600287.398767557</v>
      </c>
      <c r="H25" s="50">
        <f t="shared" si="9"/>
        <v>11182022.726996694</v>
      </c>
      <c r="I25" s="50">
        <f t="shared" si="9"/>
        <v>12324986.608690463</v>
      </c>
      <c r="J25" s="50">
        <f t="shared" si="9"/>
        <v>12638319.991211304</v>
      </c>
      <c r="K25" s="50">
        <f t="shared" si="9"/>
        <v>12991790.283542704</v>
      </c>
      <c r="L25" s="50">
        <f t="shared" si="9"/>
        <v>13298261.481294552</v>
      </c>
      <c r="M25" s="50">
        <f t="shared" si="9"/>
        <v>13615675.76365347</v>
      </c>
      <c r="N25" s="50">
        <f t="shared" si="9"/>
        <v>14024146.036563074</v>
      </c>
    </row>
    <row r="27" spans="2:14" x14ac:dyDescent="0.35">
      <c r="B27" s="1" t="s">
        <v>362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</row>
    <row r="28" spans="2:14" x14ac:dyDescent="0.35">
      <c r="B28" s="2" t="s">
        <v>363</v>
      </c>
      <c r="D28" s="28">
        <f>-SUMIFS('Rent Roll'!$V$10:$V$59,'Rent Roll'!$U$10:$U$59,'Cash Flow'!D$3)</f>
        <v>-1212437.5</v>
      </c>
      <c r="E28" s="28">
        <f>-SUMIFS('Rent Roll'!$V$10:$V$59,'Rent Roll'!$U$10:$U$59,'Cash Flow'!E$3)</f>
        <v>-571187.5</v>
      </c>
      <c r="F28" s="28">
        <f>-SUMIFS('Rent Roll'!$V$10:$V$59,'Rent Roll'!$U$10:$U$59,'Cash Flow'!F$3)</f>
        <v>-169014.5</v>
      </c>
      <c r="G28" s="28">
        <f>-SUMIFS('Rent Roll'!$V$10:$V$59,'Rent Roll'!$U$10:$U$59,'Cash Flow'!G$3)</f>
        <v>-391875</v>
      </c>
      <c r="H28" s="28">
        <f>-SUMIFS('Rent Roll'!$V$10:$V$59,'Rent Roll'!$U$10:$U$59,'Cash Flow'!H$3)</f>
        <v>-500260.5</v>
      </c>
      <c r="I28" s="28">
        <f>-SUMIFS('Rent Roll'!$V$10:$V$59,'Rent Roll'!$U$10:$U$59,'Cash Flow'!I$3)</f>
        <v>0</v>
      </c>
      <c r="J28" s="28">
        <f>-SUMIFS('Rent Roll'!$V$10:$V$59,'Rent Roll'!$U$10:$U$59,'Cash Flow'!J$3)</f>
        <v>-35625</v>
      </c>
      <c r="K28" s="28">
        <f>-SUMIFS('Rent Roll'!$V$10:$V$59,'Rent Roll'!$U$10:$U$59,'Cash Flow'!K$3)</f>
        <v>0</v>
      </c>
      <c r="L28" s="28">
        <f>-SUMIFS('Rent Roll'!$V$10:$V$59,'Rent Roll'!$U$10:$U$59,'Cash Flow'!L$3)</f>
        <v>0</v>
      </c>
      <c r="M28" s="28">
        <f>-SUMIFS('Rent Roll'!$V$10:$V$59,'Rent Roll'!$U$10:$U$59,'Cash Flow'!M$3)</f>
        <v>0</v>
      </c>
      <c r="N28" s="28">
        <f>-SUMIFS('Rent Roll'!$V$10:$V$59,'Rent Roll'!$U$10:$U$59,'Cash Flow'!N$3)</f>
        <v>0</v>
      </c>
    </row>
    <row r="29" spans="2:14" x14ac:dyDescent="0.35">
      <c r="B29" s="2" t="s">
        <v>364</v>
      </c>
      <c r="D29" s="28">
        <f>-SUMIFS('Rent Roll'!$W$10:$W$59,'Rent Roll'!$U$10:$U$59,'Cash Flow'!D$3)</f>
        <v>-668587.5</v>
      </c>
      <c r="E29" s="28">
        <f>-SUMIFS('Rent Roll'!$W$10:$W$59,'Rent Roll'!$U$10:$U$59,'Cash Flow'!E$3)</f>
        <v>-380725.5</v>
      </c>
      <c r="F29" s="28">
        <f>-SUMIFS('Rent Roll'!$W$10:$W$59,'Rent Roll'!$U$10:$U$59,'Cash Flow'!F$3)</f>
        <v>-143746.00745999999</v>
      </c>
      <c r="G29" s="28">
        <f>-SUMIFS('Rent Roll'!$W$10:$W$59,'Rent Roll'!$U$10:$U$59,'Cash Flow'!G$3)</f>
        <v>-338755.98322499992</v>
      </c>
      <c r="H29" s="28">
        <f>-SUMIFS('Rent Roll'!$W$10:$W$59,'Rent Roll'!$U$10:$U$59,'Cash Flow'!H$3)</f>
        <v>-351020.0228633504</v>
      </c>
      <c r="I29" s="28">
        <f>-SUMIFS('Rent Roll'!$W$10:$W$59,'Rent Roll'!$U$10:$U$59,'Cash Flow'!I$3)</f>
        <v>0</v>
      </c>
      <c r="J29" s="28">
        <f>-SUMIFS('Rent Roll'!$W$10:$W$59,'Rent Roll'!$U$10:$U$59,'Cash Flow'!J$3)</f>
        <v>-37285.692416321443</v>
      </c>
      <c r="K29" s="28">
        <f>-SUMIFS('Rent Roll'!$W$10:$W$59,'Rent Roll'!$U$10:$U$59,'Cash Flow'!K$3)</f>
        <v>0</v>
      </c>
      <c r="L29" s="28">
        <f>-SUMIFS('Rent Roll'!$W$10:$W$59,'Rent Roll'!$U$10:$U$59,'Cash Flow'!L$3)</f>
        <v>0</v>
      </c>
      <c r="M29" s="28">
        <f>-SUMIFS('Rent Roll'!$W$10:$W$59,'Rent Roll'!$U$10:$U$59,'Cash Flow'!M$3)</f>
        <v>0</v>
      </c>
      <c r="N29" s="28">
        <f>-SUMIFS('Rent Roll'!$W$10:$W$59,'Rent Roll'!$U$10:$U$59,'Cash Flow'!N$3)</f>
        <v>0</v>
      </c>
    </row>
    <row r="30" spans="2:14" x14ac:dyDescent="0.35">
      <c r="B30" s="2" t="s">
        <v>365</v>
      </c>
      <c r="D30" s="28">
        <f>-Capex_PSF*TotalSF*(1+ExpGrowth)^0</f>
        <v>-303200</v>
      </c>
      <c r="E30" s="28">
        <f>-Capex_PSF*TotalSF*(1+ExpGrowth)^1</f>
        <v>-312296</v>
      </c>
      <c r="F30" s="28">
        <f>-Capex_PSF*TotalSF*(1+ExpGrowth)^2</f>
        <v>-321664.88</v>
      </c>
      <c r="G30" s="28">
        <f>-Capex_PSF*TotalSF*(1+ExpGrowth)^3</f>
        <v>-331314.82640000002</v>
      </c>
      <c r="H30" s="28">
        <f>-Capex_PSF*TotalSF*(1+ExpGrowth)^4</f>
        <v>-341254.27119199996</v>
      </c>
      <c r="I30" s="28">
        <f>-Capex_PSF*TotalSF*(1+ExpGrowth)^5</f>
        <v>-351491.89932775998</v>
      </c>
      <c r="J30" s="28">
        <f>-Capex_PSF*TotalSF*(1+ExpGrowth)^6</f>
        <v>-362036.65630759276</v>
      </c>
      <c r="K30" s="28">
        <f>-Capex_PSF*TotalSF*(1+ExpGrowth)^7</f>
        <v>-372897.75599682058</v>
      </c>
      <c r="L30" s="28">
        <f>-Capex_PSF*TotalSF*(1+ExpGrowth)^8</f>
        <v>-384084.68867672514</v>
      </c>
      <c r="M30" s="28">
        <f>-Capex_PSF*TotalSF*(1+ExpGrowth)^9</f>
        <v>-395607.22933702695</v>
      </c>
      <c r="N30" s="28">
        <f>-Capex_PSF*TotalSF*(1+ExpGrowth)^10</f>
        <v>-407475.44621713774</v>
      </c>
    </row>
    <row r="31" spans="2:14" x14ac:dyDescent="0.35">
      <c r="B31" s="5" t="s">
        <v>366</v>
      </c>
      <c r="D31" s="43">
        <f t="shared" ref="D31:N31" si="10">D28+D29+D30</f>
        <v>-2184225</v>
      </c>
      <c r="E31" s="43">
        <f t="shared" si="10"/>
        <v>-1264209</v>
      </c>
      <c r="F31" s="43">
        <f t="shared" si="10"/>
        <v>-634425.38746</v>
      </c>
      <c r="G31" s="43">
        <f t="shared" si="10"/>
        <v>-1061945.8096249998</v>
      </c>
      <c r="H31" s="43">
        <f t="shared" si="10"/>
        <v>-1192534.7940553504</v>
      </c>
      <c r="I31" s="43">
        <f t="shared" si="10"/>
        <v>-351491.89932775998</v>
      </c>
      <c r="J31" s="43">
        <f t="shared" si="10"/>
        <v>-434947.34872391418</v>
      </c>
      <c r="K31" s="43">
        <f t="shared" si="10"/>
        <v>-372897.75599682058</v>
      </c>
      <c r="L31" s="43">
        <f t="shared" si="10"/>
        <v>-384084.68867672514</v>
      </c>
      <c r="M31" s="43">
        <f t="shared" si="10"/>
        <v>-395607.22933702695</v>
      </c>
      <c r="N31" s="43">
        <f t="shared" si="10"/>
        <v>-407475.44621713774</v>
      </c>
    </row>
    <row r="33" spans="2:14" x14ac:dyDescent="0.35">
      <c r="B33" s="5" t="s">
        <v>367</v>
      </c>
      <c r="D33" s="50">
        <f>D25+D31</f>
        <v>4905422.1869826689</v>
      </c>
      <c r="E33" s="50">
        <f t="shared" ref="E33:N33" si="11">E25+E31</f>
        <v>7787212.7315978147</v>
      </c>
      <c r="F33" s="50">
        <f t="shared" si="11"/>
        <v>9504684.137985196</v>
      </c>
      <c r="G33" s="50">
        <f t="shared" si="11"/>
        <v>9538341.5891425572</v>
      </c>
      <c r="H33" s="50">
        <f t="shared" si="11"/>
        <v>9989487.9329413436</v>
      </c>
      <c r="I33" s="50">
        <f t="shared" si="11"/>
        <v>11973494.709362702</v>
      </c>
      <c r="J33" s="50">
        <f t="shared" si="11"/>
        <v>12203372.64248739</v>
      </c>
      <c r="K33" s="50">
        <f t="shared" si="11"/>
        <v>12618892.527545882</v>
      </c>
      <c r="L33" s="50">
        <f t="shared" si="11"/>
        <v>12914176.792617828</v>
      </c>
      <c r="M33" s="50">
        <f t="shared" si="11"/>
        <v>13220068.534316443</v>
      </c>
      <c r="N33" s="50">
        <f t="shared" si="11"/>
        <v>13616670.590345936</v>
      </c>
    </row>
    <row r="35" spans="2:14" x14ac:dyDescent="0.35">
      <c r="B35" s="1" t="s">
        <v>368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</row>
    <row r="36" spans="2:14" x14ac:dyDescent="0.35">
      <c r="B36" s="2" t="s">
        <v>369</v>
      </c>
      <c r="D36" s="28">
        <f>IF(1&lt;=IOYears,-LoanAmount*IntRate,IF(1&lt;=IOYears+AmortYears,CUMIPMT(IntRate/12,AmortYears*12,LoanAmount,(1-IOYears-1)*12+1,(1-IOYears)*12,0),0))</f>
        <v>-4680000</v>
      </c>
      <c r="E36" s="28">
        <f>IF(2&lt;=IOYears,-LoanAmount*IntRate,IF(2&lt;=IOYears+AmortYears,CUMIPMT(IntRate/12,AmortYears*12,LoanAmount,(2-IOYears-1)*12+1,(2-IOYears)*12,0),0))</f>
        <v>-4680000</v>
      </c>
      <c r="F36" s="28">
        <f>IF(3&lt;=IOYears,-LoanAmount*IntRate,IF(3&lt;=IOYears+AmortYears,CUMIPMT(IntRate/12,AmortYears*12,LoanAmount,(3-IOYears-1)*12+1,(3-IOYears)*12,0),0))</f>
        <v>-4656305.3853280172</v>
      </c>
      <c r="G36" s="28">
        <f>IF(4&lt;=IOYears,-LoanAmount*IntRate,IF(4&lt;=IOYears+AmortYears,CUMIPMT(IntRate/12,AmortYears*12,LoanAmount,(4-IOYears-1)*12+1,(4-IOYears)*12,0),0))</f>
        <v>-4602408.9611536209</v>
      </c>
      <c r="H36" s="28">
        <f>IF(5&lt;=IOYears,-LoanAmount*IntRate,IF(5&lt;=IOYears+AmortYears,CUMIPMT(IntRate/12,AmortYears*12,LoanAmount,(5-IOYears-1)*12+1,(5-IOYears)*12,0),0))</f>
        <v>-4544902.9936359497</v>
      </c>
      <c r="I36" s="28">
        <f>IF(6&lt;=IOYears,-LoanAmount*IntRate,IF(6&lt;=IOYears+AmortYears,CUMIPMT(IntRate/12,AmortYears*12,LoanAmount,(6-IOYears-1)*12+1,(6-IOYears)*12,0),0))</f>
        <v>-4483545.7449724227</v>
      </c>
      <c r="J36" s="28">
        <f>IF(7&lt;=IOYears,-LoanAmount*IntRate,IF(7&lt;=IOYears+AmortYears,CUMIPMT(IntRate/12,AmortYears*12,LoanAmount,(7-IOYears-1)*12+1,(7-IOYears)*12,0),0))</f>
        <v>-4418079.2877321187</v>
      </c>
      <c r="K36" s="28">
        <f>IF(8&lt;=IOYears,-LoanAmount*IntRate,IF(8&lt;=IOYears+AmortYears,CUMIPMT(IntRate/12,AmortYears*12,LoanAmount,(8-IOYears-1)*12+1,(8-IOYears)*12,0),0))</f>
        <v>-4348228.4206063859</v>
      </c>
      <c r="L36" s="28">
        <f>IF(9&lt;=IOYears,-LoanAmount*IntRate,IF(9&lt;=IOYears+AmortYears,CUMIPMT(IntRate/12,AmortYears*12,LoanAmount,(9-IOYears-1)*12+1,(9-IOYears)*12,0),0))</f>
        <v>-4273699.5115452595</v>
      </c>
      <c r="M36" s="28">
        <f>IF(10&lt;=IOYears,-LoanAmount*IntRate,IF(10&lt;=IOYears+AmortYears,CUMIPMT(IntRate/12,AmortYears*12,LoanAmount,(10-IOYears-1)*12+1,(10-IOYears)*12,0),0))</f>
        <v>-4194179.2634165795</v>
      </c>
      <c r="N36" s="28">
        <f>0</f>
        <v>0</v>
      </c>
    </row>
    <row r="37" spans="2:14" x14ac:dyDescent="0.35">
      <c r="B37" s="2" t="s">
        <v>370</v>
      </c>
      <c r="D37" s="28">
        <f>IF(1&lt;=IOYears,0,IF(1&lt;=IOYears+AmortYears,CUMPRINC(IntRate/12,AmortYears*12,LoanAmount,(1-IOYears-1)*12+1,(1-IOYears)*12,0),0))</f>
        <v>0</v>
      </c>
      <c r="E37" s="28">
        <f>IF(2&lt;=IOYears,0,IF(2&lt;=IOYears+AmortYears,CUMPRINC(IntRate/12,AmortYears*12,LoanAmount,(2-IOYears-1)*12+1,(2-IOYears)*12,0),0))</f>
        <v>0</v>
      </c>
      <c r="F37" s="28">
        <f>IF(3&lt;=IOYears,0,IF(3&lt;=IOYears+AmortYears,CUMPRINC(IntRate/12,AmortYears*12,LoanAmount,(3-IOYears-1)*12+1,(3-IOYears)*12,0),0))</f>
        <v>-804762.33765118942</v>
      </c>
      <c r="G37" s="28">
        <f>IF(4&lt;=IOYears,0,IF(4&lt;=IOYears+AmortYears,CUMPRINC(IntRate/12,AmortYears*12,LoanAmount,(4-IOYears-1)*12+1,(4-IOYears)*12,0),0))</f>
        <v>-858658.76182558609</v>
      </c>
      <c r="H37" s="28">
        <f>IF(5&lt;=IOYears,0,IF(5&lt;=IOYears+AmortYears,CUMPRINC(IntRate/12,AmortYears*12,LoanAmount,(5-IOYears-1)*12+1,(5-IOYears)*12,0),0))</f>
        <v>-916164.72934325668</v>
      </c>
      <c r="I37" s="28">
        <f>IF(6&lt;=IOYears,0,IF(6&lt;=IOYears+AmortYears,CUMPRINC(IntRate/12,AmortYears*12,LoanAmount,(6-IOYears-1)*12+1,(6-IOYears)*12,0),0))</f>
        <v>-977521.97800678387</v>
      </c>
      <c r="J37" s="28">
        <f>IF(7&lt;=IOYears,0,IF(7&lt;=IOYears+AmortYears,CUMPRINC(IntRate/12,AmortYears*12,LoanAmount,(7-IOYears-1)*12+1,(7-IOYears)*12,0),0))</f>
        <v>-1042988.435247088</v>
      </c>
      <c r="K37" s="28">
        <f>IF(8&lt;=IOYears,0,IF(8&lt;=IOYears+AmortYears,CUMPRINC(IntRate/12,AmortYears*12,LoanAmount,(8-IOYears-1)*12+1,(8-IOYears)*12,0),0))</f>
        <v>-1112839.3023728209</v>
      </c>
      <c r="L37" s="28">
        <f>IF(9&lt;=IOYears,0,IF(9&lt;=IOYears+AmortYears,CUMPRINC(IntRate/12,AmortYears*12,LoanAmount,(9-IOYears-1)*12+1,(9-IOYears)*12,0),0))</f>
        <v>-1187368.2114339473</v>
      </c>
      <c r="M37" s="28">
        <f>IF(10&lt;=IOYears,0,IF(10&lt;=IOYears+AmortYears,CUMPRINC(IntRate/12,AmortYears*12,LoanAmount,(10-IOYears-1)*12+1,(10-IOYears)*12,0),0))</f>
        <v>-1266888.4595626271</v>
      </c>
      <c r="N37" s="28">
        <f>0</f>
        <v>0</v>
      </c>
    </row>
    <row r="38" spans="2:14" x14ac:dyDescent="0.35">
      <c r="B38" s="5" t="s">
        <v>371</v>
      </c>
      <c r="D38" s="43">
        <f t="shared" ref="D38:M38" si="12">D36+D37</f>
        <v>-4680000</v>
      </c>
      <c r="E38" s="43">
        <f t="shared" si="12"/>
        <v>-4680000</v>
      </c>
      <c r="F38" s="43">
        <f t="shared" si="12"/>
        <v>-5461067.7229792066</v>
      </c>
      <c r="G38" s="43">
        <f t="shared" si="12"/>
        <v>-5461067.7229792066</v>
      </c>
      <c r="H38" s="43">
        <f t="shared" si="12"/>
        <v>-5461067.7229792066</v>
      </c>
      <c r="I38" s="43">
        <f t="shared" si="12"/>
        <v>-5461067.7229792066</v>
      </c>
      <c r="J38" s="43">
        <f t="shared" si="12"/>
        <v>-5461067.7229792066</v>
      </c>
      <c r="K38" s="43">
        <f t="shared" si="12"/>
        <v>-5461067.7229792066</v>
      </c>
      <c r="L38" s="43">
        <f t="shared" si="12"/>
        <v>-5461067.7229792066</v>
      </c>
      <c r="M38" s="43">
        <f t="shared" si="12"/>
        <v>-5461067.7229792066</v>
      </c>
      <c r="N38" s="28">
        <f>0</f>
        <v>0</v>
      </c>
    </row>
    <row r="40" spans="2:14" x14ac:dyDescent="0.35">
      <c r="B40" s="5" t="s">
        <v>372</v>
      </c>
      <c r="D40" s="50">
        <f t="shared" ref="D40:M40" si="13">D33+D38</f>
        <v>225422.18698266894</v>
      </c>
      <c r="E40" s="50">
        <f t="shared" si="13"/>
        <v>3107212.7315978147</v>
      </c>
      <c r="F40" s="50">
        <f t="shared" si="13"/>
        <v>4043616.4150059894</v>
      </c>
      <c r="G40" s="50">
        <f t="shared" si="13"/>
        <v>4077273.8661633506</v>
      </c>
      <c r="H40" s="50">
        <f t="shared" si="13"/>
        <v>4528420.209962137</v>
      </c>
      <c r="I40" s="50">
        <f t="shared" si="13"/>
        <v>6512426.9863834959</v>
      </c>
      <c r="J40" s="50">
        <f t="shared" si="13"/>
        <v>6742304.9195081834</v>
      </c>
      <c r="K40" s="50">
        <f t="shared" si="13"/>
        <v>7157824.8045666758</v>
      </c>
      <c r="L40" s="50">
        <f t="shared" si="13"/>
        <v>7453109.0696386211</v>
      </c>
      <c r="M40" s="50">
        <f t="shared" si="13"/>
        <v>7759000.8113372363</v>
      </c>
    </row>
    <row r="42" spans="2:14" x14ac:dyDescent="0.35">
      <c r="B42" s="1" t="s">
        <v>373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2:14" x14ac:dyDescent="0.35">
      <c r="B43" s="2" t="s">
        <v>374</v>
      </c>
      <c r="M43" s="28">
        <f>N25/ExitCap</f>
        <v>215756092.87020114</v>
      </c>
    </row>
    <row r="44" spans="2:14" x14ac:dyDescent="0.35">
      <c r="B44" s="2" t="s">
        <v>375</v>
      </c>
      <c r="M44" s="28">
        <f>-M43*SellingCostsPct</f>
        <v>-3236341.3930530171</v>
      </c>
    </row>
    <row r="45" spans="2:14" x14ac:dyDescent="0.35">
      <c r="B45" s="5" t="s">
        <v>39</v>
      </c>
      <c r="M45" s="43">
        <f>M43+M44</f>
        <v>212519751.47714812</v>
      </c>
    </row>
    <row r="46" spans="2:14" x14ac:dyDescent="0.35">
      <c r="B46" s="2" t="s">
        <v>376</v>
      </c>
      <c r="M46" s="28">
        <f>-(LoanAmount+SUM(D37:M37))</f>
        <v>-63832807.784556702</v>
      </c>
    </row>
    <row r="47" spans="2:14" x14ac:dyDescent="0.35">
      <c r="B47" s="5" t="s">
        <v>377</v>
      </c>
      <c r="M47" s="43">
        <f>M45+M46</f>
        <v>148686943.69259143</v>
      </c>
    </row>
    <row r="49" spans="2:14" x14ac:dyDescent="0.35">
      <c r="B49" s="1" t="s">
        <v>378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</row>
    <row r="50" spans="2:14" x14ac:dyDescent="0.35">
      <c r="B50" s="5" t="s">
        <v>379</v>
      </c>
      <c r="C50" s="50">
        <f>-TotalAcqCost</f>
        <v>-121200000</v>
      </c>
      <c r="D50" s="50">
        <f t="shared" ref="D50:L50" si="14">D33</f>
        <v>4905422.1869826689</v>
      </c>
      <c r="E50" s="50">
        <f t="shared" si="14"/>
        <v>7787212.7315978147</v>
      </c>
      <c r="F50" s="50">
        <f t="shared" si="14"/>
        <v>9504684.137985196</v>
      </c>
      <c r="G50" s="50">
        <f t="shared" si="14"/>
        <v>9538341.5891425572</v>
      </c>
      <c r="H50" s="50">
        <f t="shared" si="14"/>
        <v>9989487.9329413436</v>
      </c>
      <c r="I50" s="50">
        <f t="shared" si="14"/>
        <v>11973494.709362702</v>
      </c>
      <c r="J50" s="50">
        <f t="shared" si="14"/>
        <v>12203372.64248739</v>
      </c>
      <c r="K50" s="50">
        <f t="shared" si="14"/>
        <v>12618892.527545882</v>
      </c>
      <c r="L50" s="50">
        <f t="shared" si="14"/>
        <v>12914176.792617828</v>
      </c>
      <c r="M50" s="50">
        <f>M33+M45</f>
        <v>225739820.01146457</v>
      </c>
    </row>
    <row r="51" spans="2:14" x14ac:dyDescent="0.35">
      <c r="B51" s="5" t="s">
        <v>380</v>
      </c>
      <c r="C51" s="50">
        <f>-(TotalAcqCost-LoanAmount+LoanAmount*LoanFeePct)</f>
        <v>-49920000</v>
      </c>
      <c r="D51" s="50">
        <f t="shared" ref="D51:L51" si="15">D40</f>
        <v>225422.18698266894</v>
      </c>
      <c r="E51" s="50">
        <f t="shared" si="15"/>
        <v>3107212.7315978147</v>
      </c>
      <c r="F51" s="50">
        <f t="shared" si="15"/>
        <v>4043616.4150059894</v>
      </c>
      <c r="G51" s="50">
        <f t="shared" si="15"/>
        <v>4077273.8661633506</v>
      </c>
      <c r="H51" s="50">
        <f t="shared" si="15"/>
        <v>4528420.209962137</v>
      </c>
      <c r="I51" s="50">
        <f t="shared" si="15"/>
        <v>6512426.9863834959</v>
      </c>
      <c r="J51" s="50">
        <f t="shared" si="15"/>
        <v>6742304.9195081834</v>
      </c>
      <c r="K51" s="50">
        <f t="shared" si="15"/>
        <v>7157824.8045666758</v>
      </c>
      <c r="L51" s="50">
        <f t="shared" si="15"/>
        <v>7453109.0696386211</v>
      </c>
      <c r="M51" s="50">
        <f>M40+M47</f>
        <v>156445944.50392866</v>
      </c>
    </row>
  </sheetData>
  <mergeCells count="1">
    <mergeCell ref="B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65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8.6328125" defaultRowHeight="14.5" x14ac:dyDescent="0.35"/>
  <cols>
    <col min="1" max="1" width="2" customWidth="1"/>
    <col min="2" max="2" width="44" customWidth="1"/>
    <col min="3" max="14" width="14" customWidth="1"/>
  </cols>
  <sheetData>
    <row r="2" spans="2:14" ht="25.5" customHeight="1" x14ac:dyDescent="0.35">
      <c r="B2" s="56" t="s">
        <v>381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2:14" x14ac:dyDescent="0.35">
      <c r="B3" s="57" t="s">
        <v>382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2:14" ht="21.75" customHeight="1" x14ac:dyDescent="0.35">
      <c r="B4" s="5" t="s">
        <v>343</v>
      </c>
      <c r="C4" s="35" t="s">
        <v>344</v>
      </c>
      <c r="D4" s="35" t="s">
        <v>82</v>
      </c>
      <c r="E4" s="35" t="s">
        <v>83</v>
      </c>
      <c r="F4" s="35" t="s">
        <v>84</v>
      </c>
      <c r="G4" s="35" t="s">
        <v>85</v>
      </c>
      <c r="H4" s="35" t="s">
        <v>86</v>
      </c>
      <c r="I4" s="35" t="s">
        <v>87</v>
      </c>
      <c r="J4" s="35" t="s">
        <v>88</v>
      </c>
      <c r="K4" s="35" t="s">
        <v>89</v>
      </c>
      <c r="L4" s="35" t="s">
        <v>90</v>
      </c>
      <c r="M4" s="35" t="s">
        <v>91</v>
      </c>
      <c r="N4" s="35" t="s">
        <v>383</v>
      </c>
    </row>
    <row r="5" spans="2:14" x14ac:dyDescent="0.35">
      <c r="B5" s="1" t="s">
        <v>384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spans="2:14" x14ac:dyDescent="0.35">
      <c r="B6" s="5" t="s">
        <v>385</v>
      </c>
      <c r="C6" s="13">
        <f>TotalAcqCost-LoanAmount+LoanAmount*LoanFeePct</f>
        <v>49920000</v>
      </c>
    </row>
    <row r="7" spans="2:14" x14ac:dyDescent="0.35">
      <c r="B7" s="2" t="s">
        <v>386</v>
      </c>
      <c r="C7" s="9">
        <f>C6*LP_Pct</f>
        <v>47424000</v>
      </c>
    </row>
    <row r="8" spans="2:14" x14ac:dyDescent="0.35">
      <c r="B8" s="2" t="s">
        <v>387</v>
      </c>
      <c r="C8" s="9">
        <f>C6*GP_Pct</f>
        <v>2496000</v>
      </c>
    </row>
    <row r="10" spans="2:14" x14ac:dyDescent="0.35">
      <c r="B10" s="1" t="s">
        <v>388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2:14" x14ac:dyDescent="0.35">
      <c r="B11" s="2" t="s">
        <v>389</v>
      </c>
      <c r="D11" s="9">
        <f>'Cash Flow'!D40</f>
        <v>225422.18698266894</v>
      </c>
      <c r="E11" s="9">
        <f>'Cash Flow'!E40</f>
        <v>3107212.7315978147</v>
      </c>
      <c r="F11" s="9">
        <f>'Cash Flow'!F40</f>
        <v>4043616.4150059894</v>
      </c>
      <c r="G11" s="9">
        <f>'Cash Flow'!G40</f>
        <v>4077273.8661633506</v>
      </c>
      <c r="H11" s="9">
        <f>'Cash Flow'!H40</f>
        <v>4528420.209962137</v>
      </c>
      <c r="I11" s="9">
        <f>'Cash Flow'!I40</f>
        <v>6512426.9863834959</v>
      </c>
      <c r="J11" s="9">
        <f>'Cash Flow'!J40</f>
        <v>6742304.9195081834</v>
      </c>
      <c r="K11" s="9">
        <f>'Cash Flow'!K40</f>
        <v>7157824.8045666758</v>
      </c>
      <c r="L11" s="9">
        <f>'Cash Flow'!L40</f>
        <v>7453109.0696386211</v>
      </c>
      <c r="M11" s="9">
        <f>'Cash Flow'!M40</f>
        <v>7759000.8113372363</v>
      </c>
    </row>
    <row r="12" spans="2:14" x14ac:dyDescent="0.35">
      <c r="B12" s="2" t="s">
        <v>390</v>
      </c>
      <c r="M12" s="9">
        <f>'Cash Flow'!M47</f>
        <v>148686943.69259143</v>
      </c>
    </row>
    <row r="13" spans="2:14" x14ac:dyDescent="0.35">
      <c r="B13" s="5" t="s">
        <v>391</v>
      </c>
      <c r="D13" s="43">
        <f t="shared" ref="D13:M13" si="0">MAX(0,D11+IFERROR(D12,0))</f>
        <v>225422.18698266894</v>
      </c>
      <c r="E13" s="43">
        <f t="shared" si="0"/>
        <v>3107212.7315978147</v>
      </c>
      <c r="F13" s="43">
        <f t="shared" si="0"/>
        <v>4043616.4150059894</v>
      </c>
      <c r="G13" s="43">
        <f t="shared" si="0"/>
        <v>4077273.8661633506</v>
      </c>
      <c r="H13" s="43">
        <f t="shared" si="0"/>
        <v>4528420.209962137</v>
      </c>
      <c r="I13" s="43">
        <f t="shared" si="0"/>
        <v>6512426.9863834959</v>
      </c>
      <c r="J13" s="43">
        <f t="shared" si="0"/>
        <v>6742304.9195081834</v>
      </c>
      <c r="K13" s="43">
        <f t="shared" si="0"/>
        <v>7157824.8045666758</v>
      </c>
      <c r="L13" s="43">
        <f t="shared" si="0"/>
        <v>7453109.0696386211</v>
      </c>
      <c r="M13" s="43">
        <f t="shared" si="0"/>
        <v>156445944.50392866</v>
      </c>
    </row>
    <row r="15" spans="2:14" x14ac:dyDescent="0.35">
      <c r="B15" s="1" t="s">
        <v>392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</row>
    <row r="16" spans="2:14" x14ac:dyDescent="0.35">
      <c r="B16" s="2" t="s">
        <v>393</v>
      </c>
      <c r="C16" s="28">
        <f>0</f>
        <v>0</v>
      </c>
      <c r="D16" s="28">
        <f t="shared" ref="D16:M16" si="1">C19</f>
        <v>47424000</v>
      </c>
      <c r="E16" s="28">
        <f t="shared" si="1"/>
        <v>47424000</v>
      </c>
      <c r="F16" s="28">
        <f t="shared" si="1"/>
        <v>47424000</v>
      </c>
      <c r="G16" s="28">
        <f t="shared" si="1"/>
        <v>47424000</v>
      </c>
      <c r="H16" s="28">
        <f t="shared" si="1"/>
        <v>47424000</v>
      </c>
      <c r="I16" s="28">
        <f t="shared" si="1"/>
        <v>47424000</v>
      </c>
      <c r="J16" s="28">
        <f t="shared" si="1"/>
        <v>47424000</v>
      </c>
      <c r="K16" s="28">
        <f t="shared" si="1"/>
        <v>46206596.550176539</v>
      </c>
      <c r="L16" s="28">
        <f t="shared" si="1"/>
        <v>43103190.709852323</v>
      </c>
      <c r="M16" s="28">
        <f t="shared" si="1"/>
        <v>39470992.35048382</v>
      </c>
    </row>
    <row r="17" spans="2:14" x14ac:dyDescent="0.35">
      <c r="B17" s="2" t="s">
        <v>394</v>
      </c>
      <c r="C17" s="28">
        <f>C7</f>
        <v>47424000</v>
      </c>
      <c r="D17" s="28">
        <f>0</f>
        <v>0</v>
      </c>
      <c r="E17" s="28">
        <f>0</f>
        <v>0</v>
      </c>
      <c r="F17" s="28">
        <f>0</f>
        <v>0</v>
      </c>
      <c r="G17" s="28">
        <f>0</f>
        <v>0</v>
      </c>
      <c r="H17" s="28">
        <f>0</f>
        <v>0</v>
      </c>
      <c r="I17" s="28">
        <f>0</f>
        <v>0</v>
      </c>
      <c r="J17" s="28">
        <f>0</f>
        <v>0</v>
      </c>
      <c r="K17" s="28">
        <f>0</f>
        <v>0</v>
      </c>
      <c r="L17" s="28">
        <f>0</f>
        <v>0</v>
      </c>
      <c r="M17" s="28">
        <f>0</f>
        <v>0</v>
      </c>
    </row>
    <row r="18" spans="2:14" x14ac:dyDescent="0.35">
      <c r="B18" s="2" t="s">
        <v>395</v>
      </c>
      <c r="C18" s="28">
        <f>0</f>
        <v>0</v>
      </c>
      <c r="D18" s="28">
        <f t="shared" ref="D18:M18" si="2">D44</f>
        <v>0</v>
      </c>
      <c r="E18" s="28">
        <f t="shared" si="2"/>
        <v>0</v>
      </c>
      <c r="F18" s="28">
        <f t="shared" si="2"/>
        <v>0</v>
      </c>
      <c r="G18" s="28">
        <f t="shared" si="2"/>
        <v>0</v>
      </c>
      <c r="H18" s="28">
        <f t="shared" si="2"/>
        <v>0</v>
      </c>
      <c r="I18" s="28">
        <f t="shared" si="2"/>
        <v>0</v>
      </c>
      <c r="J18" s="28">
        <f t="shared" si="2"/>
        <v>1217403.4498234587</v>
      </c>
      <c r="K18" s="28">
        <f t="shared" si="2"/>
        <v>3103405.8403242189</v>
      </c>
      <c r="L18" s="28">
        <f t="shared" si="2"/>
        <v>3632198.3593685045</v>
      </c>
      <c r="M18" s="28">
        <f t="shared" si="2"/>
        <v>39470992.35048382</v>
      </c>
    </row>
    <row r="19" spans="2:14" x14ac:dyDescent="0.35">
      <c r="B19" s="5" t="s">
        <v>396</v>
      </c>
      <c r="C19" s="43">
        <f t="shared" ref="C19:M19" si="3">C16+C17-C18</f>
        <v>47424000</v>
      </c>
      <c r="D19" s="43">
        <f t="shared" si="3"/>
        <v>47424000</v>
      </c>
      <c r="E19" s="43">
        <f t="shared" si="3"/>
        <v>47424000</v>
      </c>
      <c r="F19" s="43">
        <f t="shared" si="3"/>
        <v>47424000</v>
      </c>
      <c r="G19" s="43">
        <f t="shared" si="3"/>
        <v>47424000</v>
      </c>
      <c r="H19" s="43">
        <f t="shared" si="3"/>
        <v>47424000</v>
      </c>
      <c r="I19" s="43">
        <f t="shared" si="3"/>
        <v>47424000</v>
      </c>
      <c r="J19" s="43">
        <f t="shared" si="3"/>
        <v>46206596.550176539</v>
      </c>
      <c r="K19" s="43">
        <f t="shared" si="3"/>
        <v>43103190.709852323</v>
      </c>
      <c r="L19" s="43">
        <f t="shared" si="3"/>
        <v>39470992.35048382</v>
      </c>
      <c r="M19" s="43">
        <f t="shared" si="3"/>
        <v>0</v>
      </c>
    </row>
    <row r="20" spans="2:14" x14ac:dyDescent="0.35">
      <c r="B20" s="1" t="s">
        <v>397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</row>
    <row r="21" spans="2:14" x14ac:dyDescent="0.35">
      <c r="B21" s="2" t="s">
        <v>398</v>
      </c>
      <c r="C21" s="28">
        <f>0</f>
        <v>0</v>
      </c>
      <c r="D21" s="28">
        <f t="shared" ref="D21:M21" si="4">C24</f>
        <v>0</v>
      </c>
      <c r="E21" s="28">
        <f t="shared" si="4"/>
        <v>3579768.9223664645</v>
      </c>
      <c r="F21" s="28">
        <f t="shared" si="4"/>
        <v>4421836.8273485405</v>
      </c>
      <c r="G21" s="28">
        <f t="shared" si="4"/>
        <v>4374321.2330928501</v>
      </c>
      <c r="H21" s="28">
        <f t="shared" si="4"/>
        <v>4294831.0602376666</v>
      </c>
      <c r="I21" s="28">
        <f t="shared" si="4"/>
        <v>3786751.860773637</v>
      </c>
      <c r="J21" s="28">
        <f t="shared" si="4"/>
        <v>1393866.2237093151</v>
      </c>
      <c r="K21" s="28">
        <f t="shared" si="4"/>
        <v>0</v>
      </c>
      <c r="L21" s="28">
        <f t="shared" si="4"/>
        <v>0</v>
      </c>
      <c r="M21" s="28">
        <f t="shared" si="4"/>
        <v>0</v>
      </c>
    </row>
    <row r="22" spans="2:14" x14ac:dyDescent="0.35">
      <c r="B22" s="2" t="s">
        <v>399</v>
      </c>
      <c r="C22" s="28">
        <f>0</f>
        <v>0</v>
      </c>
      <c r="D22" s="28">
        <f t="shared" ref="D22:M22" si="5">D16*PrefRate</f>
        <v>3793920</v>
      </c>
      <c r="E22" s="28">
        <f t="shared" si="5"/>
        <v>3793920</v>
      </c>
      <c r="F22" s="28">
        <f t="shared" si="5"/>
        <v>3793920</v>
      </c>
      <c r="G22" s="28">
        <f t="shared" si="5"/>
        <v>3793920</v>
      </c>
      <c r="H22" s="28">
        <f t="shared" si="5"/>
        <v>3793920</v>
      </c>
      <c r="I22" s="28">
        <f t="shared" si="5"/>
        <v>3793920</v>
      </c>
      <c r="J22" s="28">
        <f t="shared" si="5"/>
        <v>3793920</v>
      </c>
      <c r="K22" s="28">
        <f t="shared" si="5"/>
        <v>3696527.724014123</v>
      </c>
      <c r="L22" s="28">
        <f t="shared" si="5"/>
        <v>3448255.2567881858</v>
      </c>
      <c r="M22" s="28">
        <f t="shared" si="5"/>
        <v>3157679.3880387056</v>
      </c>
    </row>
    <row r="23" spans="2:14" x14ac:dyDescent="0.35">
      <c r="B23" s="2" t="s">
        <v>400</v>
      </c>
      <c r="C23" s="28">
        <f>0</f>
        <v>0</v>
      </c>
      <c r="D23" s="28">
        <f t="shared" ref="D23:M23" si="6">D39</f>
        <v>214151.07763353549</v>
      </c>
      <c r="E23" s="28">
        <f t="shared" si="6"/>
        <v>2951852.095017924</v>
      </c>
      <c r="F23" s="28">
        <f t="shared" si="6"/>
        <v>3841435.59425569</v>
      </c>
      <c r="G23" s="28">
        <f t="shared" si="6"/>
        <v>3873410.172855183</v>
      </c>
      <c r="H23" s="28">
        <f t="shared" si="6"/>
        <v>4301999.1994640296</v>
      </c>
      <c r="I23" s="28">
        <f t="shared" si="6"/>
        <v>6186805.6370643219</v>
      </c>
      <c r="J23" s="28">
        <f t="shared" si="6"/>
        <v>5187786.2237093151</v>
      </c>
      <c r="K23" s="28">
        <f t="shared" si="6"/>
        <v>3696527.7240141225</v>
      </c>
      <c r="L23" s="28">
        <f t="shared" si="6"/>
        <v>3448255.2567881858</v>
      </c>
      <c r="M23" s="28">
        <f t="shared" si="6"/>
        <v>3157679.3880387051</v>
      </c>
    </row>
    <row r="24" spans="2:14" x14ac:dyDescent="0.35">
      <c r="B24" s="5" t="s">
        <v>401</v>
      </c>
      <c r="C24" s="43">
        <f t="shared" ref="C24:M24" si="7">C21+C22-C23</f>
        <v>0</v>
      </c>
      <c r="D24" s="43">
        <f t="shared" si="7"/>
        <v>3579768.9223664645</v>
      </c>
      <c r="E24" s="43">
        <f t="shared" si="7"/>
        <v>4421836.8273485405</v>
      </c>
      <c r="F24" s="43">
        <f t="shared" si="7"/>
        <v>4374321.2330928501</v>
      </c>
      <c r="G24" s="43">
        <f t="shared" si="7"/>
        <v>4294831.0602376666</v>
      </c>
      <c r="H24" s="43">
        <f t="shared" si="7"/>
        <v>3786751.860773637</v>
      </c>
      <c r="I24" s="43">
        <f t="shared" si="7"/>
        <v>1393866.2237093151</v>
      </c>
      <c r="J24" s="43">
        <f t="shared" si="7"/>
        <v>0</v>
      </c>
      <c r="K24" s="43">
        <f t="shared" si="7"/>
        <v>0</v>
      </c>
      <c r="L24" s="43">
        <f t="shared" si="7"/>
        <v>0</v>
      </c>
      <c r="M24" s="43">
        <f t="shared" si="7"/>
        <v>0</v>
      </c>
    </row>
    <row r="26" spans="2:14" x14ac:dyDescent="0.35">
      <c r="B26" s="1" t="s">
        <v>402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</row>
    <row r="27" spans="2:14" x14ac:dyDescent="0.35">
      <c r="B27" s="2" t="s">
        <v>393</v>
      </c>
      <c r="C27" s="28">
        <f>0</f>
        <v>0</v>
      </c>
      <c r="D27" s="28">
        <f t="shared" ref="D27:M27" si="8">C30</f>
        <v>2496000</v>
      </c>
      <c r="E27" s="28">
        <f t="shared" si="8"/>
        <v>2496000</v>
      </c>
      <c r="F27" s="28">
        <f t="shared" si="8"/>
        <v>2496000</v>
      </c>
      <c r="G27" s="28">
        <f t="shared" si="8"/>
        <v>2496000</v>
      </c>
      <c r="H27" s="28">
        <f t="shared" si="8"/>
        <v>2496000</v>
      </c>
      <c r="I27" s="28">
        <f t="shared" si="8"/>
        <v>2496000</v>
      </c>
      <c r="J27" s="28">
        <f t="shared" si="8"/>
        <v>2496000</v>
      </c>
      <c r="K27" s="28">
        <f t="shared" si="8"/>
        <v>2431926.1342198178</v>
      </c>
      <c r="L27" s="28">
        <f t="shared" si="8"/>
        <v>2268588.9847290693</v>
      </c>
      <c r="M27" s="28">
        <f t="shared" si="8"/>
        <v>2077420.6500254637</v>
      </c>
    </row>
    <row r="28" spans="2:14" x14ac:dyDescent="0.35">
      <c r="B28" s="2" t="s">
        <v>394</v>
      </c>
      <c r="C28" s="28">
        <f>C8</f>
        <v>2496000</v>
      </c>
      <c r="D28" s="28">
        <f>0</f>
        <v>0</v>
      </c>
      <c r="E28" s="28">
        <f>0</f>
        <v>0</v>
      </c>
      <c r="F28" s="28">
        <f>0</f>
        <v>0</v>
      </c>
      <c r="G28" s="28">
        <f>0</f>
        <v>0</v>
      </c>
      <c r="H28" s="28">
        <f>0</f>
        <v>0</v>
      </c>
      <c r="I28" s="28">
        <f>0</f>
        <v>0</v>
      </c>
      <c r="J28" s="28">
        <f>0</f>
        <v>0</v>
      </c>
      <c r="K28" s="28">
        <f>0</f>
        <v>0</v>
      </c>
      <c r="L28" s="28">
        <f>0</f>
        <v>0</v>
      </c>
      <c r="M28" s="28">
        <f>0</f>
        <v>0</v>
      </c>
    </row>
    <row r="29" spans="2:14" x14ac:dyDescent="0.35">
      <c r="B29" s="2" t="s">
        <v>395</v>
      </c>
      <c r="C29" s="28">
        <f>0</f>
        <v>0</v>
      </c>
      <c r="D29" s="28">
        <f t="shared" ref="D29:M29" si="9">D45</f>
        <v>0</v>
      </c>
      <c r="E29" s="28">
        <f t="shared" si="9"/>
        <v>0</v>
      </c>
      <c r="F29" s="28">
        <f t="shared" si="9"/>
        <v>0</v>
      </c>
      <c r="G29" s="28">
        <f t="shared" si="9"/>
        <v>0</v>
      </c>
      <c r="H29" s="28">
        <f t="shared" si="9"/>
        <v>0</v>
      </c>
      <c r="I29" s="28">
        <f t="shared" si="9"/>
        <v>0</v>
      </c>
      <c r="J29" s="28">
        <f t="shared" si="9"/>
        <v>64073.865780182183</v>
      </c>
      <c r="K29" s="28">
        <f t="shared" si="9"/>
        <v>163337.14949074853</v>
      </c>
      <c r="L29" s="28">
        <f t="shared" si="9"/>
        <v>191168.33470360562</v>
      </c>
      <c r="M29" s="28">
        <f t="shared" si="9"/>
        <v>2077420.6500254646</v>
      </c>
    </row>
    <row r="30" spans="2:14" x14ac:dyDescent="0.35">
      <c r="B30" s="5" t="s">
        <v>396</v>
      </c>
      <c r="C30" s="43">
        <f t="shared" ref="C30:M30" si="10">C27+C28-C29</f>
        <v>2496000</v>
      </c>
      <c r="D30" s="43">
        <f t="shared" si="10"/>
        <v>2496000</v>
      </c>
      <c r="E30" s="43">
        <f t="shared" si="10"/>
        <v>2496000</v>
      </c>
      <c r="F30" s="43">
        <f t="shared" si="10"/>
        <v>2496000</v>
      </c>
      <c r="G30" s="43">
        <f t="shared" si="10"/>
        <v>2496000</v>
      </c>
      <c r="H30" s="43">
        <f t="shared" si="10"/>
        <v>2496000</v>
      </c>
      <c r="I30" s="43">
        <f t="shared" si="10"/>
        <v>2496000</v>
      </c>
      <c r="J30" s="43">
        <f t="shared" si="10"/>
        <v>2431926.1342198178</v>
      </c>
      <c r="K30" s="43">
        <f t="shared" si="10"/>
        <v>2268588.9847290693</v>
      </c>
      <c r="L30" s="43">
        <f t="shared" si="10"/>
        <v>2077420.6500254637</v>
      </c>
      <c r="M30" s="43">
        <f t="shared" si="10"/>
        <v>0</v>
      </c>
    </row>
    <row r="31" spans="2:14" x14ac:dyDescent="0.35">
      <c r="B31" s="1" t="s">
        <v>403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</row>
    <row r="32" spans="2:14" x14ac:dyDescent="0.35">
      <c r="B32" s="2" t="s">
        <v>398</v>
      </c>
      <c r="C32" s="28">
        <f>0</f>
        <v>0</v>
      </c>
      <c r="D32" s="28">
        <f t="shared" ref="D32:M32" si="11">C35</f>
        <v>0</v>
      </c>
      <c r="E32" s="28">
        <f t="shared" si="11"/>
        <v>188408.89065086655</v>
      </c>
      <c r="F32" s="28">
        <f t="shared" si="11"/>
        <v>232728.25407097582</v>
      </c>
      <c r="G32" s="28">
        <f t="shared" si="11"/>
        <v>230227.43332067644</v>
      </c>
      <c r="H32" s="28">
        <f t="shared" si="11"/>
        <v>226043.74001250882</v>
      </c>
      <c r="I32" s="28">
        <f t="shared" si="11"/>
        <v>199302.72951440141</v>
      </c>
      <c r="J32" s="28">
        <f t="shared" si="11"/>
        <v>73361.380195227452</v>
      </c>
      <c r="K32" s="28">
        <f t="shared" si="11"/>
        <v>0</v>
      </c>
      <c r="L32" s="28">
        <f t="shared" si="11"/>
        <v>-4.9476511776447296E-10</v>
      </c>
      <c r="M32" s="28">
        <f t="shared" si="11"/>
        <v>0</v>
      </c>
    </row>
    <row r="33" spans="2:14" x14ac:dyDescent="0.35">
      <c r="B33" s="2" t="s">
        <v>404</v>
      </c>
      <c r="C33" s="28">
        <f>0</f>
        <v>0</v>
      </c>
      <c r="D33" s="28">
        <f t="shared" ref="D33:M33" si="12">D27*PrefRate</f>
        <v>199680</v>
      </c>
      <c r="E33" s="28">
        <f t="shared" si="12"/>
        <v>199680</v>
      </c>
      <c r="F33" s="28">
        <f t="shared" si="12"/>
        <v>199680</v>
      </c>
      <c r="G33" s="28">
        <f t="shared" si="12"/>
        <v>199680</v>
      </c>
      <c r="H33" s="28">
        <f t="shared" si="12"/>
        <v>199680</v>
      </c>
      <c r="I33" s="28">
        <f t="shared" si="12"/>
        <v>199680</v>
      </c>
      <c r="J33" s="28">
        <f t="shared" si="12"/>
        <v>199680</v>
      </c>
      <c r="K33" s="28">
        <f t="shared" si="12"/>
        <v>194554.09073758541</v>
      </c>
      <c r="L33" s="28">
        <f t="shared" si="12"/>
        <v>181487.11877832556</v>
      </c>
      <c r="M33" s="28">
        <f t="shared" si="12"/>
        <v>166193.6520020371</v>
      </c>
    </row>
    <row r="34" spans="2:14" x14ac:dyDescent="0.35">
      <c r="B34" s="2" t="s">
        <v>400</v>
      </c>
      <c r="C34" s="28">
        <f>0</f>
        <v>0</v>
      </c>
      <c r="D34" s="28">
        <f t="shared" ref="D34:M34" si="13">D40</f>
        <v>11271.109349133447</v>
      </c>
      <c r="E34" s="28">
        <f t="shared" si="13"/>
        <v>155360.63657989074</v>
      </c>
      <c r="F34" s="28">
        <f t="shared" si="13"/>
        <v>202180.82075029938</v>
      </c>
      <c r="G34" s="28">
        <f t="shared" si="13"/>
        <v>203863.69330816763</v>
      </c>
      <c r="H34" s="28">
        <f t="shared" si="13"/>
        <v>226421.01049810741</v>
      </c>
      <c r="I34" s="28">
        <f t="shared" si="13"/>
        <v>325621.34931917395</v>
      </c>
      <c r="J34" s="28">
        <f t="shared" si="13"/>
        <v>273041.38019522745</v>
      </c>
      <c r="K34" s="28">
        <f t="shared" si="13"/>
        <v>194554.09073758591</v>
      </c>
      <c r="L34" s="28">
        <f t="shared" si="13"/>
        <v>181487.11877832515</v>
      </c>
      <c r="M34" s="28">
        <f t="shared" si="13"/>
        <v>166193.6520020375</v>
      </c>
    </row>
    <row r="35" spans="2:14" x14ac:dyDescent="0.35">
      <c r="B35" s="5" t="s">
        <v>401</v>
      </c>
      <c r="C35" s="43">
        <f t="shared" ref="C35:M35" si="14">C32+C33-C34</f>
        <v>0</v>
      </c>
      <c r="D35" s="43">
        <f t="shared" si="14"/>
        <v>188408.89065086655</v>
      </c>
      <c r="E35" s="43">
        <f t="shared" si="14"/>
        <v>232728.25407097582</v>
      </c>
      <c r="F35" s="43">
        <f t="shared" si="14"/>
        <v>230227.43332067644</v>
      </c>
      <c r="G35" s="43">
        <f t="shared" si="14"/>
        <v>226043.74001250882</v>
      </c>
      <c r="H35" s="43">
        <f t="shared" si="14"/>
        <v>199302.72951440141</v>
      </c>
      <c r="I35" s="43">
        <f t="shared" si="14"/>
        <v>73361.380195227452</v>
      </c>
      <c r="J35" s="43">
        <f t="shared" si="14"/>
        <v>0</v>
      </c>
      <c r="K35" s="43">
        <f t="shared" si="14"/>
        <v>-4.9476511776447296E-10</v>
      </c>
      <c r="L35" s="43">
        <f t="shared" si="14"/>
        <v>0</v>
      </c>
      <c r="M35" s="43">
        <f t="shared" si="14"/>
        <v>-4.0745362639427185E-10</v>
      </c>
    </row>
    <row r="37" spans="2:14" x14ac:dyDescent="0.35">
      <c r="B37" s="1" t="s">
        <v>405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</row>
    <row r="38" spans="2:14" x14ac:dyDescent="0.35">
      <c r="B38" s="2" t="s">
        <v>406</v>
      </c>
      <c r="D38" s="28">
        <f t="shared" ref="D38:M38" si="15">MIN(D13,D21+D22+D32+D33)</f>
        <v>225422.18698266894</v>
      </c>
      <c r="E38" s="28">
        <f t="shared" si="15"/>
        <v>3107212.7315978147</v>
      </c>
      <c r="F38" s="28">
        <f t="shared" si="15"/>
        <v>4043616.4150059894</v>
      </c>
      <c r="G38" s="28">
        <f t="shared" si="15"/>
        <v>4077273.8661633506</v>
      </c>
      <c r="H38" s="28">
        <f t="shared" si="15"/>
        <v>4528420.209962137</v>
      </c>
      <c r="I38" s="28">
        <f t="shared" si="15"/>
        <v>6512426.9863834959</v>
      </c>
      <c r="J38" s="28">
        <f t="shared" si="15"/>
        <v>5460827.6039045425</v>
      </c>
      <c r="K38" s="28">
        <f t="shared" si="15"/>
        <v>3891081.8147517084</v>
      </c>
      <c r="L38" s="28">
        <f t="shared" si="15"/>
        <v>3629742.3755665109</v>
      </c>
      <c r="M38" s="28">
        <f t="shared" si="15"/>
        <v>3323873.0400407426</v>
      </c>
    </row>
    <row r="39" spans="2:14" x14ac:dyDescent="0.35">
      <c r="B39" s="2" t="s">
        <v>407</v>
      </c>
      <c r="D39" s="28">
        <f t="shared" ref="D39:M39" si="16">IFERROR(D38*(D21+D22)/(D21+D22+D32+D33),0)</f>
        <v>214151.07763353549</v>
      </c>
      <c r="E39" s="28">
        <f t="shared" si="16"/>
        <v>2951852.095017924</v>
      </c>
      <c r="F39" s="28">
        <f t="shared" si="16"/>
        <v>3841435.59425569</v>
      </c>
      <c r="G39" s="28">
        <f t="shared" si="16"/>
        <v>3873410.172855183</v>
      </c>
      <c r="H39" s="28">
        <f t="shared" si="16"/>
        <v>4301999.1994640296</v>
      </c>
      <c r="I39" s="28">
        <f t="shared" si="16"/>
        <v>6186805.6370643219</v>
      </c>
      <c r="J39" s="28">
        <f t="shared" si="16"/>
        <v>5187786.2237093151</v>
      </c>
      <c r="K39" s="28">
        <f t="shared" si="16"/>
        <v>3696527.7240141225</v>
      </c>
      <c r="L39" s="28">
        <f t="shared" si="16"/>
        <v>3448255.2567881858</v>
      </c>
      <c r="M39" s="28">
        <f t="shared" si="16"/>
        <v>3157679.3880387051</v>
      </c>
    </row>
    <row r="40" spans="2:14" x14ac:dyDescent="0.35">
      <c r="B40" s="2" t="s">
        <v>408</v>
      </c>
      <c r="D40" s="28">
        <f t="shared" ref="D40:M40" si="17">D38-D39</f>
        <v>11271.109349133447</v>
      </c>
      <c r="E40" s="28">
        <f t="shared" si="17"/>
        <v>155360.63657989074</v>
      </c>
      <c r="F40" s="28">
        <f t="shared" si="17"/>
        <v>202180.82075029938</v>
      </c>
      <c r="G40" s="28">
        <f t="shared" si="17"/>
        <v>203863.69330816763</v>
      </c>
      <c r="H40" s="28">
        <f t="shared" si="17"/>
        <v>226421.01049810741</v>
      </c>
      <c r="I40" s="28">
        <f t="shared" si="17"/>
        <v>325621.34931917395</v>
      </c>
      <c r="J40" s="28">
        <f t="shared" si="17"/>
        <v>273041.38019522745</v>
      </c>
      <c r="K40" s="28">
        <f t="shared" si="17"/>
        <v>194554.09073758591</v>
      </c>
      <c r="L40" s="28">
        <f t="shared" si="17"/>
        <v>181487.11877832515</v>
      </c>
      <c r="M40" s="28">
        <f t="shared" si="17"/>
        <v>166193.6520020375</v>
      </c>
    </row>
    <row r="41" spans="2:14" x14ac:dyDescent="0.35">
      <c r="B41" s="2" t="s">
        <v>409</v>
      </c>
      <c r="D41" s="51">
        <f t="shared" ref="D41:M41" si="18">D13-D38</f>
        <v>0</v>
      </c>
      <c r="E41" s="51">
        <f t="shared" si="18"/>
        <v>0</v>
      </c>
      <c r="F41" s="51">
        <f t="shared" si="18"/>
        <v>0</v>
      </c>
      <c r="G41" s="51">
        <f t="shared" si="18"/>
        <v>0</v>
      </c>
      <c r="H41" s="51">
        <f t="shared" si="18"/>
        <v>0</v>
      </c>
      <c r="I41" s="51">
        <f t="shared" si="18"/>
        <v>0</v>
      </c>
      <c r="J41" s="51">
        <f t="shared" si="18"/>
        <v>1281477.3156036409</v>
      </c>
      <c r="K41" s="51">
        <f t="shared" si="18"/>
        <v>3266742.9898149674</v>
      </c>
      <c r="L41" s="51">
        <f t="shared" si="18"/>
        <v>3823366.6940721101</v>
      </c>
      <c r="M41" s="51">
        <f t="shared" si="18"/>
        <v>153122071.46388793</v>
      </c>
    </row>
    <row r="43" spans="2:14" x14ac:dyDescent="0.35">
      <c r="B43" s="2" t="s">
        <v>410</v>
      </c>
      <c r="D43" s="28">
        <f t="shared" ref="D43:M43" si="19">MIN(D41,D16+D27)</f>
        <v>0</v>
      </c>
      <c r="E43" s="28">
        <f t="shared" si="19"/>
        <v>0</v>
      </c>
      <c r="F43" s="28">
        <f t="shared" si="19"/>
        <v>0</v>
      </c>
      <c r="G43" s="28">
        <f t="shared" si="19"/>
        <v>0</v>
      </c>
      <c r="H43" s="28">
        <f t="shared" si="19"/>
        <v>0</v>
      </c>
      <c r="I43" s="28">
        <f t="shared" si="19"/>
        <v>0</v>
      </c>
      <c r="J43" s="28">
        <f t="shared" si="19"/>
        <v>1281477.3156036409</v>
      </c>
      <c r="K43" s="28">
        <f t="shared" si="19"/>
        <v>3266742.9898149674</v>
      </c>
      <c r="L43" s="28">
        <f t="shared" si="19"/>
        <v>3823366.6940721101</v>
      </c>
      <c r="M43" s="28">
        <f t="shared" si="19"/>
        <v>41548413.000509284</v>
      </c>
    </row>
    <row r="44" spans="2:14" x14ac:dyDescent="0.35">
      <c r="B44" s="2" t="s">
        <v>411</v>
      </c>
      <c r="D44" s="28">
        <f t="shared" ref="D44:M44" si="20">IFERROR(D43*D16/(D16+D27),0)</f>
        <v>0</v>
      </c>
      <c r="E44" s="28">
        <f t="shared" si="20"/>
        <v>0</v>
      </c>
      <c r="F44" s="28">
        <f t="shared" si="20"/>
        <v>0</v>
      </c>
      <c r="G44" s="28">
        <f t="shared" si="20"/>
        <v>0</v>
      </c>
      <c r="H44" s="28">
        <f t="shared" si="20"/>
        <v>0</v>
      </c>
      <c r="I44" s="28">
        <f t="shared" si="20"/>
        <v>0</v>
      </c>
      <c r="J44" s="28">
        <f t="shared" si="20"/>
        <v>1217403.4498234587</v>
      </c>
      <c r="K44" s="28">
        <f t="shared" si="20"/>
        <v>3103405.8403242189</v>
      </c>
      <c r="L44" s="28">
        <f t="shared" si="20"/>
        <v>3632198.3593685045</v>
      </c>
      <c r="M44" s="28">
        <f t="shared" si="20"/>
        <v>39470992.35048382</v>
      </c>
    </row>
    <row r="45" spans="2:14" x14ac:dyDescent="0.35">
      <c r="B45" s="2" t="s">
        <v>412</v>
      </c>
      <c r="D45" s="28">
        <f t="shared" ref="D45:M45" si="21">D43-D44</f>
        <v>0</v>
      </c>
      <c r="E45" s="28">
        <f t="shared" si="21"/>
        <v>0</v>
      </c>
      <c r="F45" s="28">
        <f t="shared" si="21"/>
        <v>0</v>
      </c>
      <c r="G45" s="28">
        <f t="shared" si="21"/>
        <v>0</v>
      </c>
      <c r="H45" s="28">
        <f t="shared" si="21"/>
        <v>0</v>
      </c>
      <c r="I45" s="28">
        <f t="shared" si="21"/>
        <v>0</v>
      </c>
      <c r="J45" s="28">
        <f t="shared" si="21"/>
        <v>64073.865780182183</v>
      </c>
      <c r="K45" s="28">
        <f t="shared" si="21"/>
        <v>163337.14949074853</v>
      </c>
      <c r="L45" s="28">
        <f t="shared" si="21"/>
        <v>191168.33470360562</v>
      </c>
      <c r="M45" s="28">
        <f t="shared" si="21"/>
        <v>2077420.6500254646</v>
      </c>
    </row>
    <row r="46" spans="2:14" x14ac:dyDescent="0.35">
      <c r="B46" s="2" t="s">
        <v>413</v>
      </c>
      <c r="D46" s="51">
        <f t="shared" ref="D46:M46" si="22">D41-D43</f>
        <v>0</v>
      </c>
      <c r="E46" s="51">
        <f t="shared" si="22"/>
        <v>0</v>
      </c>
      <c r="F46" s="51">
        <f t="shared" si="22"/>
        <v>0</v>
      </c>
      <c r="G46" s="51">
        <f t="shared" si="22"/>
        <v>0</v>
      </c>
      <c r="H46" s="51">
        <f t="shared" si="22"/>
        <v>0</v>
      </c>
      <c r="I46" s="51">
        <f t="shared" si="22"/>
        <v>0</v>
      </c>
      <c r="J46" s="51">
        <f t="shared" si="22"/>
        <v>0</v>
      </c>
      <c r="K46" s="51">
        <f t="shared" si="22"/>
        <v>0</v>
      </c>
      <c r="L46" s="51">
        <f t="shared" si="22"/>
        <v>0</v>
      </c>
      <c r="M46" s="51">
        <f t="shared" si="22"/>
        <v>111573658.46337864</v>
      </c>
    </row>
    <row r="48" spans="2:14" x14ac:dyDescent="0.35">
      <c r="B48" s="2" t="s">
        <v>414</v>
      </c>
      <c r="D48" s="28">
        <f t="shared" ref="D48:M48" si="23">MAX(0,D46)</f>
        <v>0</v>
      </c>
      <c r="E48" s="28">
        <f t="shared" si="23"/>
        <v>0</v>
      </c>
      <c r="F48" s="28">
        <f t="shared" si="23"/>
        <v>0</v>
      </c>
      <c r="G48" s="28">
        <f t="shared" si="23"/>
        <v>0</v>
      </c>
      <c r="H48" s="28">
        <f t="shared" si="23"/>
        <v>0</v>
      </c>
      <c r="I48" s="28">
        <f t="shared" si="23"/>
        <v>0</v>
      </c>
      <c r="J48" s="28">
        <f t="shared" si="23"/>
        <v>0</v>
      </c>
      <c r="K48" s="28">
        <f t="shared" si="23"/>
        <v>0</v>
      </c>
      <c r="L48" s="28">
        <f t="shared" si="23"/>
        <v>0</v>
      </c>
      <c r="M48" s="28">
        <f t="shared" si="23"/>
        <v>111573658.46337864</v>
      </c>
    </row>
    <row r="49" spans="2:14" x14ac:dyDescent="0.35">
      <c r="B49" s="2" t="s">
        <v>415</v>
      </c>
      <c r="D49" s="28">
        <f t="shared" ref="D49:M49" si="24">D48*PromoteLP</f>
        <v>0</v>
      </c>
      <c r="E49" s="28">
        <f t="shared" si="24"/>
        <v>0</v>
      </c>
      <c r="F49" s="28">
        <f t="shared" si="24"/>
        <v>0</v>
      </c>
      <c r="G49" s="28">
        <f t="shared" si="24"/>
        <v>0</v>
      </c>
      <c r="H49" s="28">
        <f t="shared" si="24"/>
        <v>0</v>
      </c>
      <c r="I49" s="28">
        <f t="shared" si="24"/>
        <v>0</v>
      </c>
      <c r="J49" s="28">
        <f t="shared" si="24"/>
        <v>0</v>
      </c>
      <c r="K49" s="28">
        <f t="shared" si="24"/>
        <v>0</v>
      </c>
      <c r="L49" s="28">
        <f t="shared" si="24"/>
        <v>0</v>
      </c>
      <c r="M49" s="28">
        <f t="shared" si="24"/>
        <v>89258926.770702913</v>
      </c>
    </row>
    <row r="50" spans="2:14" x14ac:dyDescent="0.35">
      <c r="B50" s="2" t="s">
        <v>416</v>
      </c>
      <c r="D50" s="28">
        <f t="shared" ref="D50:M50" si="25">D48*PromoteGP</f>
        <v>0</v>
      </c>
      <c r="E50" s="28">
        <f t="shared" si="25"/>
        <v>0</v>
      </c>
      <c r="F50" s="28">
        <f t="shared" si="25"/>
        <v>0</v>
      </c>
      <c r="G50" s="28">
        <f t="shared" si="25"/>
        <v>0</v>
      </c>
      <c r="H50" s="28">
        <f t="shared" si="25"/>
        <v>0</v>
      </c>
      <c r="I50" s="28">
        <f t="shared" si="25"/>
        <v>0</v>
      </c>
      <c r="J50" s="28">
        <f t="shared" si="25"/>
        <v>0</v>
      </c>
      <c r="K50" s="28">
        <f t="shared" si="25"/>
        <v>0</v>
      </c>
      <c r="L50" s="28">
        <f t="shared" si="25"/>
        <v>0</v>
      </c>
      <c r="M50" s="28">
        <f t="shared" si="25"/>
        <v>22314731.692675728</v>
      </c>
    </row>
    <row r="52" spans="2:14" x14ac:dyDescent="0.35">
      <c r="B52" s="1" t="s">
        <v>417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2:14" x14ac:dyDescent="0.35">
      <c r="B53" s="5" t="s">
        <v>418</v>
      </c>
      <c r="D53" s="50">
        <f t="shared" ref="D53:M53" si="26">D39+D44+D49</f>
        <v>214151.07763353549</v>
      </c>
      <c r="E53" s="50">
        <f t="shared" si="26"/>
        <v>2951852.095017924</v>
      </c>
      <c r="F53" s="50">
        <f t="shared" si="26"/>
        <v>3841435.59425569</v>
      </c>
      <c r="G53" s="50">
        <f t="shared" si="26"/>
        <v>3873410.172855183</v>
      </c>
      <c r="H53" s="50">
        <f t="shared" si="26"/>
        <v>4301999.1994640296</v>
      </c>
      <c r="I53" s="50">
        <f t="shared" si="26"/>
        <v>6186805.6370643219</v>
      </c>
      <c r="J53" s="50">
        <f t="shared" si="26"/>
        <v>6405189.6735327737</v>
      </c>
      <c r="K53" s="50">
        <f t="shared" si="26"/>
        <v>6799933.5643383414</v>
      </c>
      <c r="L53" s="50">
        <f t="shared" si="26"/>
        <v>7080453.6161566898</v>
      </c>
      <c r="M53" s="50">
        <f t="shared" si="26"/>
        <v>131887598.50922543</v>
      </c>
      <c r="N53" s="50">
        <f>SUM(D53:M53)</f>
        <v>173542829.13954392</v>
      </c>
    </row>
    <row r="54" spans="2:14" x14ac:dyDescent="0.35">
      <c r="B54" s="5" t="s">
        <v>419</v>
      </c>
      <c r="D54" s="50">
        <f t="shared" ref="D54:M54" si="27">D40+D45+D50</f>
        <v>11271.109349133447</v>
      </c>
      <c r="E54" s="50">
        <f t="shared" si="27"/>
        <v>155360.63657989074</v>
      </c>
      <c r="F54" s="50">
        <f t="shared" si="27"/>
        <v>202180.82075029938</v>
      </c>
      <c r="G54" s="50">
        <f t="shared" si="27"/>
        <v>203863.69330816763</v>
      </c>
      <c r="H54" s="50">
        <f t="shared" si="27"/>
        <v>226421.01049810741</v>
      </c>
      <c r="I54" s="50">
        <f t="shared" si="27"/>
        <v>325621.34931917395</v>
      </c>
      <c r="J54" s="50">
        <f t="shared" si="27"/>
        <v>337115.24597540963</v>
      </c>
      <c r="K54" s="50">
        <f t="shared" si="27"/>
        <v>357891.24022833444</v>
      </c>
      <c r="L54" s="50">
        <f t="shared" si="27"/>
        <v>372655.45348193077</v>
      </c>
      <c r="M54" s="50">
        <f t="shared" si="27"/>
        <v>24558345.99470323</v>
      </c>
      <c r="N54" s="50">
        <f>SUM(D54:M54)</f>
        <v>26750726.554193676</v>
      </c>
    </row>
    <row r="56" spans="2:14" x14ac:dyDescent="0.35">
      <c r="B56" s="1" t="s">
        <v>420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</row>
    <row r="57" spans="2:14" x14ac:dyDescent="0.35">
      <c r="B57" s="5" t="s">
        <v>421</v>
      </c>
      <c r="C57" s="50">
        <f>-C7</f>
        <v>-47424000</v>
      </c>
      <c r="D57" s="50">
        <f t="shared" ref="D57:M57" si="28">D53+MIN(0,D11+IFERROR(D12,0))*LP_Pct</f>
        <v>214151.07763353549</v>
      </c>
      <c r="E57" s="50">
        <f t="shared" si="28"/>
        <v>2951852.095017924</v>
      </c>
      <c r="F57" s="50">
        <f t="shared" si="28"/>
        <v>3841435.59425569</v>
      </c>
      <c r="G57" s="50">
        <f t="shared" si="28"/>
        <v>3873410.172855183</v>
      </c>
      <c r="H57" s="50">
        <f t="shared" si="28"/>
        <v>4301999.1994640296</v>
      </c>
      <c r="I57" s="50">
        <f t="shared" si="28"/>
        <v>6186805.6370643219</v>
      </c>
      <c r="J57" s="50">
        <f t="shared" si="28"/>
        <v>6405189.6735327737</v>
      </c>
      <c r="K57" s="50">
        <f t="shared" si="28"/>
        <v>6799933.5643383414</v>
      </c>
      <c r="L57" s="50">
        <f t="shared" si="28"/>
        <v>7080453.6161566898</v>
      </c>
      <c r="M57" s="50">
        <f t="shared" si="28"/>
        <v>131887598.50922543</v>
      </c>
    </row>
    <row r="58" spans="2:14" x14ac:dyDescent="0.35">
      <c r="B58" s="5" t="s">
        <v>422</v>
      </c>
      <c r="C58" s="50">
        <f>-C8</f>
        <v>-2496000</v>
      </c>
      <c r="D58" s="50">
        <f t="shared" ref="D58:M58" si="29">D54+MIN(0,D11+IFERROR(D12,0))*GP_Pct</f>
        <v>11271.109349133447</v>
      </c>
      <c r="E58" s="50">
        <f t="shared" si="29"/>
        <v>155360.63657989074</v>
      </c>
      <c r="F58" s="50">
        <f t="shared" si="29"/>
        <v>202180.82075029938</v>
      </c>
      <c r="G58" s="50">
        <f t="shared" si="29"/>
        <v>203863.69330816763</v>
      </c>
      <c r="H58" s="50">
        <f t="shared" si="29"/>
        <v>226421.01049810741</v>
      </c>
      <c r="I58" s="50">
        <f t="shared" si="29"/>
        <v>325621.34931917395</v>
      </c>
      <c r="J58" s="50">
        <f t="shared" si="29"/>
        <v>337115.24597540963</v>
      </c>
      <c r="K58" s="50">
        <f t="shared" si="29"/>
        <v>357891.24022833444</v>
      </c>
      <c r="L58" s="50">
        <f t="shared" si="29"/>
        <v>372655.45348193077</v>
      </c>
      <c r="M58" s="50">
        <f t="shared" si="29"/>
        <v>24558345.99470323</v>
      </c>
    </row>
    <row r="60" spans="2:14" x14ac:dyDescent="0.35">
      <c r="B60" s="1" t="s">
        <v>423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</row>
    <row r="61" spans="2:14" x14ac:dyDescent="0.35">
      <c r="B61" s="5" t="s">
        <v>26</v>
      </c>
      <c r="C61" s="52">
        <f>IRR(C57:M57)</f>
        <v>0.16071220635770911</v>
      </c>
    </row>
    <row r="62" spans="2:14" x14ac:dyDescent="0.35">
      <c r="B62" s="5" t="s">
        <v>28</v>
      </c>
      <c r="C62" s="53">
        <f>SUM(D57:M57)/ABS(C57)</f>
        <v>3.6593882662690604</v>
      </c>
    </row>
    <row r="63" spans="2:14" x14ac:dyDescent="0.35">
      <c r="B63" s="5" t="s">
        <v>424</v>
      </c>
      <c r="C63" s="52">
        <f>IRR(C58:M58)</f>
        <v>0.28844179584719476</v>
      </c>
    </row>
    <row r="64" spans="2:14" x14ac:dyDescent="0.35">
      <c r="B64" s="5" t="s">
        <v>29</v>
      </c>
      <c r="C64" s="53">
        <f>SUM(D58:M58)/ABS(C58)</f>
        <v>10.717438523314774</v>
      </c>
    </row>
    <row r="65" spans="2:3" x14ac:dyDescent="0.35">
      <c r="B65" s="5" t="s">
        <v>425</v>
      </c>
      <c r="C65" s="50">
        <f>SUM(D50:M50)</f>
        <v>22314731.692675728</v>
      </c>
    </row>
  </sheetData>
  <mergeCells count="2">
    <mergeCell ref="B2:N2"/>
    <mergeCell ref="B3:N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40</vt:i4>
      </vt:variant>
    </vt:vector>
  </HeadingPairs>
  <TitlesOfParts>
    <vt:vector size="45" baseType="lpstr">
      <vt:lpstr>Summary</vt:lpstr>
      <vt:lpstr>Assumptions</vt:lpstr>
      <vt:lpstr>Rent Roll</vt:lpstr>
      <vt:lpstr>Cash Flow</vt:lpstr>
      <vt:lpstr>Waterfall</vt:lpstr>
      <vt:lpstr>AmortYears</vt:lpstr>
      <vt:lpstr>AnalysisStart</vt:lpstr>
      <vt:lpstr>CAM_PSF</vt:lpstr>
      <vt:lpstr>Capex_PSF</vt:lpstr>
      <vt:lpstr>Downtime_New</vt:lpstr>
      <vt:lpstr>Downtime_Ren</vt:lpstr>
      <vt:lpstr>ExitCap</vt:lpstr>
      <vt:lpstr>ExpGrowth</vt:lpstr>
      <vt:lpstr>FreeRent_New</vt:lpstr>
      <vt:lpstr>FreeRent_Ren</vt:lpstr>
      <vt:lpstr>GenVac</vt:lpstr>
      <vt:lpstr>GP_Pct</vt:lpstr>
      <vt:lpstr>HoldYears</vt:lpstr>
      <vt:lpstr>Ins_PSF</vt:lpstr>
      <vt:lpstr>IntRate</vt:lpstr>
      <vt:lpstr>IOYears</vt:lpstr>
      <vt:lpstr>LC_New</vt:lpstr>
      <vt:lpstr>LC_Ren</vt:lpstr>
      <vt:lpstr>LeaseTermYrs</vt:lpstr>
      <vt:lpstr>LoanAmount</vt:lpstr>
      <vt:lpstr>LoanFeePct</vt:lpstr>
      <vt:lpstr>LP_Pct</vt:lpstr>
      <vt:lpstr>LTV_Pct</vt:lpstr>
      <vt:lpstr>MgmtFeePct</vt:lpstr>
      <vt:lpstr>MktRentGrowth</vt:lpstr>
      <vt:lpstr>MktRentSchedule</vt:lpstr>
      <vt:lpstr>MktRentY1</vt:lpstr>
      <vt:lpstr>PrefRate</vt:lpstr>
      <vt:lpstr>PromoteGP</vt:lpstr>
      <vt:lpstr>PromoteLP</vt:lpstr>
      <vt:lpstr>PurchasePrice</vt:lpstr>
      <vt:lpstr>RecoveryPct</vt:lpstr>
      <vt:lpstr>RET_PSF</vt:lpstr>
      <vt:lpstr>Retention_Ratio</vt:lpstr>
      <vt:lpstr>SellingCostsPct</vt:lpstr>
      <vt:lpstr>TI_New</vt:lpstr>
      <vt:lpstr>TI_Ren</vt:lpstr>
      <vt:lpstr>TotalAcqCost</vt:lpstr>
      <vt:lpstr>TotalSF</vt:lpstr>
      <vt:lpstr>UT_PSF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Hop Mathews</cp:lastModifiedBy>
  <cp:revision>0</cp:revision>
  <dcterms:created xsi:type="dcterms:W3CDTF">2026-04-22T01:11:56Z</dcterms:created>
  <dcterms:modified xsi:type="dcterms:W3CDTF">2026-04-28T19:37:27Z</dcterms:modified>
  <dc:language>en-US</dc:language>
</cp:coreProperties>
</file>